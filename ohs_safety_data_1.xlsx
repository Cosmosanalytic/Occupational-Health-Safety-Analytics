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macbook/Downloads/"/>
    </mc:Choice>
  </mc:AlternateContent>
  <xr:revisionPtr revIDLastSave="0" documentId="13_ncr:1_{968AF68F-E41A-B94A-BC0A-F53907B24F11}" xr6:coauthVersionLast="47" xr6:coauthVersionMax="47" xr10:uidLastSave="{00000000-0000-0000-0000-000000000000}"/>
  <bookViews>
    <workbookView xWindow="1120" yWindow="500" windowWidth="27680" windowHeight="17500" xr2:uid="{00000000-000D-0000-FFFF-FFFF00000000}"/>
  </bookViews>
  <sheets>
    <sheet name="Worker Safety Dataset" sheetId="1" r:id="rId1"/>
    <sheet name="Demo – Teaching Table" sheetId="2" r:id="rId2"/>
    <sheet name="Python Code Guide" sheetId="3" r:id="rId3"/>
    <sheet name="OHS Metrics 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4" l="1"/>
  <c r="C10" i="4"/>
  <c r="C9" i="4"/>
  <c r="C8" i="4"/>
  <c r="C7" i="4"/>
  <c r="C6" i="4"/>
  <c r="C5" i="4"/>
  <c r="C4" i="4"/>
  <c r="C3" i="4"/>
</calcChain>
</file>

<file path=xl/sharedStrings.xml><?xml version="1.0" encoding="utf-8"?>
<sst xmlns="http://schemas.openxmlformats.org/spreadsheetml/2006/main" count="465" uniqueCount="220">
  <si>
    <t>This dataset simulates safety records for 50 workers across multiple job sites. Use it to practice pandas analysis, clustering, and predictive modelling in Python. Key columns: TrainingHours &amp; OvertimeHours predict Incident risk.</t>
  </si>
  <si>
    <t>WorkerID</t>
  </si>
  <si>
    <t>Name</t>
  </si>
  <si>
    <t>Age</t>
  </si>
  <si>
    <t>Department</t>
  </si>
  <si>
    <t>Role</t>
  </si>
  <si>
    <t>Site</t>
  </si>
  <si>
    <t>Shift</t>
  </si>
  <si>
    <t>Tenure (Yrs)</t>
  </si>
  <si>
    <t>Training Hrs</t>
  </si>
  <si>
    <t>Overtime Hrs</t>
  </si>
  <si>
    <t>Incidents</t>
  </si>
  <si>
    <t>Near Misses</t>
  </si>
  <si>
    <t>Days Lost</t>
  </si>
  <si>
    <t>Noise (dB)</t>
  </si>
  <si>
    <t>PPE Compliance (%)</t>
  </si>
  <si>
    <t>W001</t>
  </si>
  <si>
    <t>James Smith</t>
  </si>
  <si>
    <t>Assembly</t>
  </si>
  <si>
    <t>Line Worker</t>
  </si>
  <si>
    <t>Site C – West</t>
  </si>
  <si>
    <t>Day</t>
  </si>
  <si>
    <t>W002</t>
  </si>
  <si>
    <t>Maria Santos</t>
  </si>
  <si>
    <t>Warehouse</t>
  </si>
  <si>
    <t>Storeperson</t>
  </si>
  <si>
    <t>Site B – East</t>
  </si>
  <si>
    <t>Night</t>
  </si>
  <si>
    <t>W003</t>
  </si>
  <si>
    <t>Chen Zhang</t>
  </si>
  <si>
    <t>Maintenance</t>
  </si>
  <si>
    <t>Mechanic</t>
  </si>
  <si>
    <t>W004</t>
  </si>
  <si>
    <t>Aisha Patel</t>
  </si>
  <si>
    <t>Loading Dock</t>
  </si>
  <si>
    <t>Dock Worker</t>
  </si>
  <si>
    <t>W005</t>
  </si>
  <si>
    <t>Lucas Johnson</t>
  </si>
  <si>
    <t>Logistics</t>
  </si>
  <si>
    <t>Driver</t>
  </si>
  <si>
    <t>Site D – South</t>
  </si>
  <si>
    <t>Afternoon</t>
  </si>
  <si>
    <t>W006</t>
  </si>
  <si>
    <t>Priya Kim</t>
  </si>
  <si>
    <t>Maintenance Lead</t>
  </si>
  <si>
    <t>W007</t>
  </si>
  <si>
    <t>Tom Williams</t>
  </si>
  <si>
    <t>Chemical Plant</t>
  </si>
  <si>
    <t>Lab Technician</t>
  </si>
  <si>
    <t>W008</t>
  </si>
  <si>
    <t>Fatima Hassan</t>
  </si>
  <si>
    <t>Route Supervisor</t>
  </si>
  <si>
    <t>W009</t>
  </si>
  <si>
    <t>David Brown</t>
  </si>
  <si>
    <t>Forklift Operator</t>
  </si>
  <si>
    <t>W010</t>
  </si>
  <si>
    <t>Sofia Nguyen</t>
  </si>
  <si>
    <t>Site A – North</t>
  </si>
  <si>
    <t>W011</t>
  </si>
  <si>
    <t>Nathan Jones</t>
  </si>
  <si>
    <t>Electrical</t>
  </si>
  <si>
    <t>Electrical Lead</t>
  </si>
  <si>
    <t>W012</t>
  </si>
  <si>
    <t>Yuki Tanaka</t>
  </si>
  <si>
    <t>Construction</t>
  </si>
  <si>
    <t>Site Worker</t>
  </si>
  <si>
    <t>W013</t>
  </si>
  <si>
    <t>Carlos Garcia</t>
  </si>
  <si>
    <t>W014</t>
  </si>
  <si>
    <t>Amara Obi</t>
  </si>
  <si>
    <t>W015</t>
  </si>
  <si>
    <t>Ben Davis</t>
  </si>
  <si>
    <t>W016</t>
  </si>
  <si>
    <t>Layla Al-Amin</t>
  </si>
  <si>
    <t>Carpenter</t>
  </si>
  <si>
    <t>W017</t>
  </si>
  <si>
    <t>Sam Wilson</t>
  </si>
  <si>
    <t>Plant Operator</t>
  </si>
  <si>
    <t>W018</t>
  </si>
  <si>
    <t>Nadia Kovac</t>
  </si>
  <si>
    <t>W019</t>
  </si>
  <si>
    <t>Jake Moore</t>
  </si>
  <si>
    <t>Crane Operator</t>
  </si>
  <si>
    <t>W020</t>
  </si>
  <si>
    <t>Mei Chen</t>
  </si>
  <si>
    <t>W021</t>
  </si>
  <si>
    <t>Oscar Taylor</t>
  </si>
  <si>
    <t>W022</t>
  </si>
  <si>
    <t>Diana Reyes</t>
  </si>
  <si>
    <t>Dock Supervisor</t>
  </si>
  <si>
    <t>W023</t>
  </si>
  <si>
    <t>Ethan Anderson</t>
  </si>
  <si>
    <t>W024</t>
  </si>
  <si>
    <t>Sara Malik</t>
  </si>
  <si>
    <t>W025</t>
  </si>
  <si>
    <t>Leo Thomas</t>
  </si>
  <si>
    <t>Fitter</t>
  </si>
  <si>
    <t>W026</t>
  </si>
  <si>
    <t>Zara Ibrahim</t>
  </si>
  <si>
    <t>W027</t>
  </si>
  <si>
    <t>Ryan Jackson</t>
  </si>
  <si>
    <t>W028</t>
  </si>
  <si>
    <t>Ines Singh</t>
  </si>
  <si>
    <t>Picker</t>
  </si>
  <si>
    <t>W029</t>
  </si>
  <si>
    <t>Tyler White</t>
  </si>
  <si>
    <t>W030</t>
  </si>
  <si>
    <t>Hana Park</t>
  </si>
  <si>
    <t>W031</t>
  </si>
  <si>
    <t>Jordan Harris</t>
  </si>
  <si>
    <t>Quality Inspector</t>
  </si>
  <si>
    <t>W032</t>
  </si>
  <si>
    <t>Elena Lopez</t>
  </si>
  <si>
    <t>Electrician</t>
  </si>
  <si>
    <t>W033</t>
  </si>
  <si>
    <t>Max Martin</t>
  </si>
  <si>
    <t>Dispatcher</t>
  </si>
  <si>
    <t>W034</t>
  </si>
  <si>
    <t>Nour Ahmed</t>
  </si>
  <si>
    <t>Safety Officer</t>
  </si>
  <si>
    <t>W035</t>
  </si>
  <si>
    <t>Alex Thompson</t>
  </si>
  <si>
    <t>W036</t>
  </si>
  <si>
    <t>Leila Liu</t>
  </si>
  <si>
    <t>W037</t>
  </si>
  <si>
    <t>Chris Robinson</t>
  </si>
  <si>
    <t>W038</t>
  </si>
  <si>
    <t>Amira Nkosi</t>
  </si>
  <si>
    <t>W039</t>
  </si>
  <si>
    <t>Oliver Clark</t>
  </si>
  <si>
    <t>W040</t>
  </si>
  <si>
    <t>Yuna Suzuki</t>
  </si>
  <si>
    <t>W041</t>
  </si>
  <si>
    <t>Daniel Lewis</t>
  </si>
  <si>
    <t>W042</t>
  </si>
  <si>
    <t>Sana Mehta</t>
  </si>
  <si>
    <t>W043</t>
  </si>
  <si>
    <t>Kevin Lee</t>
  </si>
  <si>
    <t>W044</t>
  </si>
  <si>
    <t>Rosa Vasquez</t>
  </si>
  <si>
    <t>W045</t>
  </si>
  <si>
    <t>Patrick Walker</t>
  </si>
  <si>
    <t>W046</t>
  </si>
  <si>
    <t>Lin Wang</t>
  </si>
  <si>
    <t>W047</t>
  </si>
  <si>
    <t>Marcus Hall</t>
  </si>
  <si>
    <t>W048</t>
  </si>
  <si>
    <t>Eva Gomez</t>
  </si>
  <si>
    <t>W049</t>
  </si>
  <si>
    <t>Jerome Allen</t>
  </si>
  <si>
    <t>W050</t>
  </si>
  <si>
    <t>Talia Cruz</t>
  </si>
  <si>
    <t>DEMO DATASET  |  Use for classroom code walkthrough</t>
  </si>
  <si>
    <t>Load this table with:  data = pd.read_excel("safety_data.xlsx", sheet_name="Demo – Teaching Table", header=2)</t>
  </si>
  <si>
    <t>Worker</t>
  </si>
  <si>
    <t>Training Hours</t>
  </si>
  <si>
    <t>Overtime Hours</t>
  </si>
  <si>
    <t>Risk Level</t>
  </si>
  <si>
    <t>High Risk</t>
  </si>
  <si>
    <t>Medium Risk</t>
  </si>
  <si>
    <t>Low Risk</t>
  </si>
  <si>
    <t>PYTHON CODE GUIDE  |  Lecture Steps 2–6</t>
  </si>
  <si>
    <t>STEP 2 – Read the Data</t>
  </si>
  <si>
    <t>Python Code</t>
  </si>
  <si>
    <t>import pandas as pd
data = pd.read_excel("safety_data.xlsx",
   sheet_name="Demo – Teaching Table", header=2)
data.head()</t>
  </si>
  <si>
    <t>Loads the Excel file into a DataFrame.
data.head() shows the first 5 rows.</t>
  </si>
  <si>
    <t>STEP 2 – Explore the Data</t>
  </si>
  <si>
    <t>print(data.shape)      # rows, columns
print(data.columns)    # column names
print(data.describe()) # stats summary</t>
  </si>
  <si>
    <t>Quick overview of the dataset size,
columns, and numeric summaries.</t>
  </si>
  <si>
    <t>STEP 3 – Plot Incidents by Dept</t>
  </si>
  <si>
    <t>import matplotlib.pyplot as plt
dept_avg = data.groupby("Department")["Incidents"].mean()
dept_avg.plot(kind="bar", color="steelblue")
plt.title("Avg Incidents by Department")
plt.ylabel("Incidents")
plt.tight_layout()
plt.show()</t>
  </si>
  <si>
    <t>Groups data by department and plots
the average incidents as a bar chart.</t>
  </si>
  <si>
    <t>STEP 3 – Scatter Plot</t>
  </si>
  <si>
    <t>plt.scatter(data["Training Hours"],
            data["Incidents"],
            color="coral", alpha=0.6)
plt.xlabel("Training Hours")
plt.ylabel("Incidents")
plt.title("Training vs Incidents")
plt.show()</t>
  </si>
  <si>
    <t>Shows relationship between training
hours and incident count.
Less training → more incidents.</t>
  </si>
  <si>
    <t>STEP 4 – K-Means Clustering</t>
  </si>
  <si>
    <t>from sklearn.cluster import KMeans
X = data[["Incidents","Training Hours"]]
kmeans = KMeans(n_clusters=3, random_state=42)
data["Cluster"] = kmeans.fit_predict(X)
print(data[["Worker","Cluster"]].head(10))</t>
  </si>
  <si>
    <t>Groups workers into 3 risk clusters
based on incidents and training.
No labels needed – unsupervised.</t>
  </si>
  <si>
    <t>STEP 4 – Plot Clusters</t>
  </si>
  <si>
    <t>colors = {0:"green", 1:"orange", 2:"red"}
for cluster in data["Cluster"].unique():
    sub = data[data["Cluster"]==cluster]
    plt.scatter(sub["Training Hours"],
               sub["Incidents"],
               c=colors[cluster],
               label=f"Cluster {cluster}")
plt.legend()
plt.title("Worker Risk Clusters")
plt.show()</t>
  </si>
  <si>
    <t>Colour-coded scatter plot showing
low / medium / high risk clusters.
Connect to OHS resource allocation.</t>
  </si>
  <si>
    <t>STEP 5 – Predict Incidents</t>
  </si>
  <si>
    <t>from sklearn.linear_model import LinearRegression
X = data[["Training Hours"]]
y = data["Incidents"]
model = LinearRegression()
model.fit(X, y)
print("Coefficient:", model.coef_[0].round(3))
print("R² score:", model.score(X,y).round(3))</t>
  </si>
  <si>
    <t>Fits a linear model: more training
→ fewer predicted incidents.
Coefficient shows the slope.</t>
  </si>
  <si>
    <t>STEP 5 – Make a Prediction</t>
  </si>
  <si>
    <t>import numpy as np
hours = np.array([[5],[20],[40]])
predictions = model.predict(hours)
for h, p in zip(hours.flatten(), predictions):
    print(f"{h} training hrs → {p:.2f} incidents")</t>
  </si>
  <si>
    <t>Predicts incident rate for a worker
given 5, 20, or 40 training hours.
Powerful for what-if planning.</t>
  </si>
  <si>
    <t>OHS METRICS SUMMARY  |  Auto-calculated from Dataset</t>
  </si>
  <si>
    <t>Metric</t>
  </si>
  <si>
    <t>Formula / Source</t>
  </si>
  <si>
    <t>Value</t>
  </si>
  <si>
    <t>Benchmark</t>
  </si>
  <si>
    <t>Total Recordable Incidents</t>
  </si>
  <si>
    <t>Count of all worker incidents</t>
  </si>
  <si>
    <t>Industry avg varies</t>
  </si>
  <si>
    <t>Total Workers Assessed</t>
  </si>
  <si>
    <t>Dataset size</t>
  </si>
  <si>
    <t>50 (demo sample)</t>
  </si>
  <si>
    <t>Estimated Hours Worked / Yr</t>
  </si>
  <si>
    <t>Workers × 2,000 hrs</t>
  </si>
  <si>
    <t>Annualised basis</t>
  </si>
  <si>
    <t>TRIFR</t>
  </si>
  <si>
    <t>(Incidents × 1,000,000) / Hours</t>
  </si>
  <si>
    <t>&lt; 10.0 (manufacturing)</t>
  </si>
  <si>
    <t>Total Days Lost</t>
  </si>
  <si>
    <t>Sum of all days lost to injury</t>
  </si>
  <si>
    <t>Lower is better</t>
  </si>
  <si>
    <t>LTIFR</t>
  </si>
  <si>
    <t>(LTI count × 1,000,000) / Hours</t>
  </si>
  <si>
    <t>&lt; 5.0</t>
  </si>
  <si>
    <t>Noise Exceedances</t>
  </si>
  <si>
    <t>Workers at ≥ 85 dB action level</t>
  </si>
  <si>
    <t>Target: 0</t>
  </si>
  <si>
    <t>Avg PPE Compliance (%)</t>
  </si>
  <si>
    <t>Mean across all workers</t>
  </si>
  <si>
    <t>&gt; 90%</t>
  </si>
  <si>
    <t>Avg Training Hours / Worker</t>
  </si>
  <si>
    <t>Total training / total workers</t>
  </si>
  <si>
    <t>&gt; 20 hrs / yr</t>
  </si>
  <si>
    <t>OHS WORKER SAFETY DATASET  |  50-Worker Simulation  |  Multi-Site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</si>
</sst>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9"/>
      <color rgb="FF555555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3"/>
      <color rgb="FFFFFFFF"/>
      <name val="Arial"/>
      <family val="2"/>
    </font>
    <font>
      <b/>
      <i/>
      <sz val="9"/>
      <color rgb="FF555555"/>
      <name val="Arial"/>
      <family val="2"/>
    </font>
    <font>
      <sz val="9"/>
      <color rgb="FF1E1E1E"/>
      <name val="Courier New"/>
      <family val="1"/>
    </font>
    <font>
      <b/>
      <sz val="9"/>
      <color rgb="FF555555"/>
      <name val="Arial"/>
      <family val="2"/>
    </font>
    <font>
      <sz val="9"/>
      <color rgb="FF1A3D1A"/>
      <name val="Arial"/>
      <family val="2"/>
    </font>
    <font>
      <b/>
      <sz val="11"/>
      <color rgb="FF1F5C99"/>
      <name val="Arial"/>
      <family val="2"/>
    </font>
    <font>
      <sz val="9"/>
      <color rgb="FF1A6B3A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5C99"/>
      </patternFill>
    </fill>
    <fill>
      <patternFill patternType="solid">
        <fgColor rgb="FFD6E8F7"/>
      </patternFill>
    </fill>
    <fill>
      <patternFill patternType="solid">
        <fgColor rgb="FF2E7BB4"/>
      </patternFill>
    </fill>
    <fill>
      <patternFill patternType="solid">
        <fgColor rgb="FFF2F2F2"/>
      </patternFill>
    </fill>
    <fill>
      <patternFill patternType="solid">
        <fgColor rgb="FFFFF9DB"/>
      </patternFill>
    </fill>
    <fill>
      <patternFill patternType="solid">
        <fgColor rgb="FFD9EFE3"/>
      </patternFill>
    </fill>
    <fill>
      <patternFill patternType="solid">
        <fgColor rgb="FFFFFFFF"/>
      </patternFill>
    </fill>
    <fill>
      <patternFill patternType="solid">
        <fgColor rgb="FFFDDEDE"/>
      </patternFill>
    </fill>
    <fill>
      <patternFill patternType="solid">
        <fgColor rgb="FFFDE9D9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0" xfId="0" applyFont="1" applyFill="1"/>
    <xf numFmtId="0" fontId="6" fillId="6" borderId="0" xfId="0" applyFont="1" applyFill="1"/>
    <xf numFmtId="0" fontId="6" fillId="7" borderId="0" xfId="0" applyFont="1" applyFill="1"/>
    <xf numFmtId="0" fontId="10" fillId="5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left" vertical="top" wrapText="1"/>
    </xf>
    <xf numFmtId="0" fontId="11" fillId="7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center" indent="1"/>
    </xf>
    <xf numFmtId="0" fontId="2" fillId="8" borderId="1" xfId="0" applyFont="1" applyFill="1" applyBorder="1" applyAlignment="1">
      <alignment horizontal="left" vertical="center" indent="1"/>
    </xf>
    <xf numFmtId="0" fontId="12" fillId="3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"/>
  <sheetViews>
    <sheetView tabSelected="1" workbookViewId="0">
      <pane ySplit="3" topLeftCell="A4" activePane="bottomLeft" state="frozen"/>
      <selection pane="bottomLeft" sqref="A1:O1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6" customWidth="1"/>
    <col min="4" max="4" width="16" customWidth="1"/>
    <col min="5" max="5" width="20" customWidth="1"/>
    <col min="6" max="6" width="16" customWidth="1"/>
    <col min="7" max="7" width="11" customWidth="1"/>
    <col min="8" max="10" width="12" customWidth="1"/>
    <col min="11" max="11" width="10" customWidth="1"/>
    <col min="12" max="12" width="12" customWidth="1"/>
    <col min="13" max="13" width="10" customWidth="1"/>
    <col min="14" max="14" width="12" customWidth="1"/>
    <col min="15" max="15" width="18" customWidth="1"/>
  </cols>
  <sheetData>
    <row r="1" spans="1:15" ht="18" customHeight="1" x14ac:dyDescent="0.2">
      <c r="A1" s="21" t="s">
        <v>219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t="36" customHeight="1" x14ac:dyDescent="0.2">
      <c r="A2" s="23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" spans="1:15" ht="30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</row>
    <row r="4" spans="1:15" x14ac:dyDescent="0.2">
      <c r="A4" s="2" t="s">
        <v>16</v>
      </c>
      <c r="B4" s="2" t="s">
        <v>17</v>
      </c>
      <c r="C4" s="2">
        <v>56</v>
      </c>
      <c r="D4" s="2" t="s">
        <v>18</v>
      </c>
      <c r="E4" s="2" t="s">
        <v>19</v>
      </c>
      <c r="F4" s="2" t="s">
        <v>20</v>
      </c>
      <c r="G4" s="2" t="s">
        <v>21</v>
      </c>
      <c r="H4" s="2">
        <v>8</v>
      </c>
      <c r="I4" s="2">
        <v>7.3</v>
      </c>
      <c r="J4" s="2">
        <v>3</v>
      </c>
      <c r="K4" s="3">
        <v>2</v>
      </c>
      <c r="L4" s="2">
        <v>1</v>
      </c>
      <c r="M4" s="2">
        <v>0</v>
      </c>
      <c r="N4" s="4">
        <v>77.5</v>
      </c>
      <c r="O4" s="4">
        <v>86</v>
      </c>
    </row>
    <row r="5" spans="1:15" x14ac:dyDescent="0.2">
      <c r="A5" s="5" t="s">
        <v>22</v>
      </c>
      <c r="B5" s="5" t="s">
        <v>23</v>
      </c>
      <c r="C5" s="5">
        <v>39</v>
      </c>
      <c r="D5" s="5" t="s">
        <v>24</v>
      </c>
      <c r="E5" s="5" t="s">
        <v>25</v>
      </c>
      <c r="F5" s="5" t="s">
        <v>26</v>
      </c>
      <c r="G5" s="5" t="s">
        <v>27</v>
      </c>
      <c r="H5" s="5">
        <v>18</v>
      </c>
      <c r="I5" s="5">
        <v>17.899999999999999</v>
      </c>
      <c r="J5" s="5">
        <v>14</v>
      </c>
      <c r="K5" s="3">
        <v>1</v>
      </c>
      <c r="L5" s="5">
        <v>1</v>
      </c>
      <c r="M5" s="5">
        <v>3</v>
      </c>
      <c r="N5" s="4">
        <v>80.5</v>
      </c>
      <c r="O5" s="3">
        <v>76</v>
      </c>
    </row>
    <row r="6" spans="1:15" x14ac:dyDescent="0.2">
      <c r="A6" s="2" t="s">
        <v>28</v>
      </c>
      <c r="B6" s="2" t="s">
        <v>29</v>
      </c>
      <c r="C6" s="2">
        <v>44</v>
      </c>
      <c r="D6" s="2" t="s">
        <v>30</v>
      </c>
      <c r="E6" s="2" t="s">
        <v>31</v>
      </c>
      <c r="F6" s="2" t="s">
        <v>20</v>
      </c>
      <c r="G6" s="2" t="s">
        <v>21</v>
      </c>
      <c r="H6" s="2">
        <v>3</v>
      </c>
      <c r="I6" s="2">
        <v>16.399999999999999</v>
      </c>
      <c r="J6" s="2">
        <v>11</v>
      </c>
      <c r="K6" s="4">
        <v>0</v>
      </c>
      <c r="L6" s="2">
        <v>2</v>
      </c>
      <c r="M6" s="2">
        <v>0</v>
      </c>
      <c r="N6" s="6">
        <v>96.3</v>
      </c>
      <c r="O6" s="6">
        <v>61</v>
      </c>
    </row>
    <row r="7" spans="1:15" x14ac:dyDescent="0.2">
      <c r="A7" s="5" t="s">
        <v>32</v>
      </c>
      <c r="B7" s="5" t="s">
        <v>33</v>
      </c>
      <c r="C7" s="5">
        <v>58</v>
      </c>
      <c r="D7" s="5" t="s">
        <v>34</v>
      </c>
      <c r="E7" s="5" t="s">
        <v>35</v>
      </c>
      <c r="F7" s="5" t="s">
        <v>20</v>
      </c>
      <c r="G7" s="5" t="s">
        <v>27</v>
      </c>
      <c r="H7" s="5">
        <v>20</v>
      </c>
      <c r="I7" s="5">
        <v>35.6</v>
      </c>
      <c r="J7" s="5">
        <v>11</v>
      </c>
      <c r="K7" s="3">
        <v>1</v>
      </c>
      <c r="L7" s="5">
        <v>1</v>
      </c>
      <c r="M7" s="5">
        <v>2</v>
      </c>
      <c r="N7" s="6">
        <v>96.6</v>
      </c>
      <c r="O7" s="3">
        <v>83</v>
      </c>
    </row>
    <row r="8" spans="1:15" x14ac:dyDescent="0.2">
      <c r="A8" s="2" t="s">
        <v>36</v>
      </c>
      <c r="B8" s="2" t="s">
        <v>37</v>
      </c>
      <c r="C8" s="2">
        <v>32</v>
      </c>
      <c r="D8" s="2" t="s">
        <v>38</v>
      </c>
      <c r="E8" s="2" t="s">
        <v>39</v>
      </c>
      <c r="F8" s="2" t="s">
        <v>40</v>
      </c>
      <c r="G8" s="2" t="s">
        <v>41</v>
      </c>
      <c r="H8" s="2">
        <v>15</v>
      </c>
      <c r="I8" s="2">
        <v>26.2</v>
      </c>
      <c r="J8" s="2">
        <v>11</v>
      </c>
      <c r="K8" s="4">
        <v>0</v>
      </c>
      <c r="L8" s="2">
        <v>1</v>
      </c>
      <c r="M8" s="2">
        <v>0</v>
      </c>
      <c r="N8" s="7">
        <v>87.2</v>
      </c>
      <c r="O8" s="4">
        <v>85</v>
      </c>
    </row>
    <row r="9" spans="1:15" x14ac:dyDescent="0.2">
      <c r="A9" s="5" t="s">
        <v>42</v>
      </c>
      <c r="B9" s="5" t="s">
        <v>43</v>
      </c>
      <c r="C9" s="5">
        <v>57</v>
      </c>
      <c r="D9" s="5" t="s">
        <v>30</v>
      </c>
      <c r="E9" s="5" t="s">
        <v>44</v>
      </c>
      <c r="F9" s="5" t="s">
        <v>26</v>
      </c>
      <c r="G9" s="5" t="s">
        <v>21</v>
      </c>
      <c r="H9" s="5">
        <v>15</v>
      </c>
      <c r="I9" s="5">
        <v>16.399999999999999</v>
      </c>
      <c r="J9" s="5">
        <v>20</v>
      </c>
      <c r="K9" s="3">
        <v>1</v>
      </c>
      <c r="L9" s="5">
        <v>0</v>
      </c>
      <c r="M9" s="5">
        <v>1</v>
      </c>
      <c r="N9" s="6">
        <v>92.5</v>
      </c>
      <c r="O9" s="4">
        <v>91</v>
      </c>
    </row>
    <row r="10" spans="1:15" x14ac:dyDescent="0.2">
      <c r="A10" s="2" t="s">
        <v>45</v>
      </c>
      <c r="B10" s="2" t="s">
        <v>46</v>
      </c>
      <c r="C10" s="2">
        <v>42</v>
      </c>
      <c r="D10" s="2" t="s">
        <v>47</v>
      </c>
      <c r="E10" s="2" t="s">
        <v>48</v>
      </c>
      <c r="F10" s="2" t="s">
        <v>20</v>
      </c>
      <c r="G10" s="2" t="s">
        <v>21</v>
      </c>
      <c r="H10" s="2">
        <v>7</v>
      </c>
      <c r="I10" s="2">
        <v>36.700000000000003</v>
      </c>
      <c r="J10" s="2">
        <v>18</v>
      </c>
      <c r="K10" s="3">
        <v>2</v>
      </c>
      <c r="L10" s="2">
        <v>4</v>
      </c>
      <c r="M10" s="2">
        <v>2</v>
      </c>
      <c r="N10" s="4">
        <v>78.599999999999994</v>
      </c>
      <c r="O10" s="4">
        <v>95</v>
      </c>
    </row>
    <row r="11" spans="1:15" x14ac:dyDescent="0.2">
      <c r="A11" s="5" t="s">
        <v>49</v>
      </c>
      <c r="B11" s="5" t="s">
        <v>50</v>
      </c>
      <c r="C11" s="5">
        <v>47</v>
      </c>
      <c r="D11" s="5" t="s">
        <v>38</v>
      </c>
      <c r="E11" s="5" t="s">
        <v>51</v>
      </c>
      <c r="F11" s="5" t="s">
        <v>20</v>
      </c>
      <c r="G11" s="5" t="s">
        <v>27</v>
      </c>
      <c r="H11" s="5">
        <v>19</v>
      </c>
      <c r="I11" s="5">
        <v>18.3</v>
      </c>
      <c r="J11" s="5">
        <v>18</v>
      </c>
      <c r="K11" s="4">
        <v>0</v>
      </c>
      <c r="L11" s="5">
        <v>0</v>
      </c>
      <c r="M11" s="5">
        <v>0</v>
      </c>
      <c r="N11" s="4">
        <v>74.3</v>
      </c>
      <c r="O11" s="4">
        <v>100</v>
      </c>
    </row>
    <row r="12" spans="1:15" x14ac:dyDescent="0.2">
      <c r="A12" s="2" t="s">
        <v>52</v>
      </c>
      <c r="B12" s="2" t="s">
        <v>53</v>
      </c>
      <c r="C12" s="2">
        <v>26</v>
      </c>
      <c r="D12" s="2" t="s">
        <v>24</v>
      </c>
      <c r="E12" s="2" t="s">
        <v>54</v>
      </c>
      <c r="F12" s="2" t="s">
        <v>26</v>
      </c>
      <c r="G12" s="2" t="s">
        <v>27</v>
      </c>
      <c r="H12" s="2">
        <v>6</v>
      </c>
      <c r="I12" s="2">
        <v>32.1</v>
      </c>
      <c r="J12" s="2">
        <v>13</v>
      </c>
      <c r="K12" s="4">
        <v>0</v>
      </c>
      <c r="L12" s="2">
        <v>2</v>
      </c>
      <c r="M12" s="2">
        <v>0</v>
      </c>
      <c r="N12" s="6">
        <v>96.3</v>
      </c>
      <c r="O12" s="4">
        <v>91</v>
      </c>
    </row>
    <row r="13" spans="1:15" x14ac:dyDescent="0.2">
      <c r="A13" s="5" t="s">
        <v>55</v>
      </c>
      <c r="B13" s="5" t="s">
        <v>56</v>
      </c>
      <c r="C13" s="5">
        <v>43</v>
      </c>
      <c r="D13" s="5" t="s">
        <v>24</v>
      </c>
      <c r="E13" s="5" t="s">
        <v>25</v>
      </c>
      <c r="F13" s="5" t="s">
        <v>57</v>
      </c>
      <c r="G13" s="5" t="s">
        <v>27</v>
      </c>
      <c r="H13" s="5">
        <v>18</v>
      </c>
      <c r="I13" s="5">
        <v>30.5</v>
      </c>
      <c r="J13" s="5">
        <v>24</v>
      </c>
      <c r="K13" s="3">
        <v>2</v>
      </c>
      <c r="L13" s="5">
        <v>4</v>
      </c>
      <c r="M13" s="5">
        <v>0</v>
      </c>
      <c r="N13" s="6">
        <v>95.8</v>
      </c>
      <c r="O13" s="4">
        <v>88</v>
      </c>
    </row>
    <row r="14" spans="1:15" x14ac:dyDescent="0.2">
      <c r="A14" s="2" t="s">
        <v>58</v>
      </c>
      <c r="B14" s="2" t="s">
        <v>59</v>
      </c>
      <c r="C14" s="2">
        <v>54</v>
      </c>
      <c r="D14" s="2" t="s">
        <v>60</v>
      </c>
      <c r="E14" s="2" t="s">
        <v>61</v>
      </c>
      <c r="F14" s="2" t="s">
        <v>26</v>
      </c>
      <c r="G14" s="2" t="s">
        <v>27</v>
      </c>
      <c r="H14" s="2">
        <v>4</v>
      </c>
      <c r="I14" s="2">
        <v>35.1</v>
      </c>
      <c r="J14" s="2">
        <v>9</v>
      </c>
      <c r="K14" s="3">
        <v>1</v>
      </c>
      <c r="L14" s="2">
        <v>1</v>
      </c>
      <c r="M14" s="2">
        <v>0</v>
      </c>
      <c r="N14" s="7">
        <v>87</v>
      </c>
      <c r="O14" s="3">
        <v>72</v>
      </c>
    </row>
    <row r="15" spans="1:15" x14ac:dyDescent="0.2">
      <c r="A15" s="5" t="s">
        <v>62</v>
      </c>
      <c r="B15" s="5" t="s">
        <v>63</v>
      </c>
      <c r="C15" s="5">
        <v>58</v>
      </c>
      <c r="D15" s="5" t="s">
        <v>64</v>
      </c>
      <c r="E15" s="5" t="s">
        <v>65</v>
      </c>
      <c r="F15" s="5" t="s">
        <v>57</v>
      </c>
      <c r="G15" s="5" t="s">
        <v>41</v>
      </c>
      <c r="H15" s="5">
        <v>10</v>
      </c>
      <c r="I15" s="5">
        <v>11.1</v>
      </c>
      <c r="J15" s="5">
        <v>7</v>
      </c>
      <c r="K15" s="3">
        <v>1</v>
      </c>
      <c r="L15" s="5">
        <v>3</v>
      </c>
      <c r="M15" s="5">
        <v>0</v>
      </c>
      <c r="N15" s="6">
        <v>96.4</v>
      </c>
      <c r="O15" s="3">
        <v>75</v>
      </c>
    </row>
    <row r="16" spans="1:15" x14ac:dyDescent="0.2">
      <c r="A16" s="2" t="s">
        <v>66</v>
      </c>
      <c r="B16" s="2" t="s">
        <v>67</v>
      </c>
      <c r="C16" s="2">
        <v>49</v>
      </c>
      <c r="D16" s="2" t="s">
        <v>30</v>
      </c>
      <c r="E16" s="2" t="s">
        <v>31</v>
      </c>
      <c r="F16" s="2" t="s">
        <v>40</v>
      </c>
      <c r="G16" s="2" t="s">
        <v>27</v>
      </c>
      <c r="H16" s="2">
        <v>6</v>
      </c>
      <c r="I16" s="2">
        <v>12.1</v>
      </c>
      <c r="J16" s="2">
        <v>19</v>
      </c>
      <c r="K16" s="8">
        <v>4</v>
      </c>
      <c r="L16" s="2">
        <v>4</v>
      </c>
      <c r="M16" s="2">
        <v>8</v>
      </c>
      <c r="N16" s="4">
        <v>82</v>
      </c>
      <c r="O16" s="3">
        <v>70</v>
      </c>
    </row>
    <row r="17" spans="1:15" x14ac:dyDescent="0.2">
      <c r="A17" s="5" t="s">
        <v>68</v>
      </c>
      <c r="B17" s="5" t="s">
        <v>69</v>
      </c>
      <c r="C17" s="5">
        <v>23</v>
      </c>
      <c r="D17" s="5" t="s">
        <v>47</v>
      </c>
      <c r="E17" s="5" t="s">
        <v>48</v>
      </c>
      <c r="F17" s="5" t="s">
        <v>40</v>
      </c>
      <c r="G17" s="5" t="s">
        <v>21</v>
      </c>
      <c r="H17" s="5">
        <v>8</v>
      </c>
      <c r="I17" s="5">
        <v>10.5</v>
      </c>
      <c r="J17" s="5">
        <v>10</v>
      </c>
      <c r="K17" s="4">
        <v>0</v>
      </c>
      <c r="L17" s="5">
        <v>0</v>
      </c>
      <c r="M17" s="5">
        <v>0</v>
      </c>
      <c r="N17" s="4">
        <v>73.8</v>
      </c>
      <c r="O17" s="3">
        <v>72</v>
      </c>
    </row>
    <row r="18" spans="1:15" x14ac:dyDescent="0.2">
      <c r="A18" s="2" t="s">
        <v>70</v>
      </c>
      <c r="B18" s="2" t="s">
        <v>71</v>
      </c>
      <c r="C18" s="2">
        <v>39</v>
      </c>
      <c r="D18" s="2" t="s">
        <v>24</v>
      </c>
      <c r="E18" s="2" t="s">
        <v>54</v>
      </c>
      <c r="F18" s="2" t="s">
        <v>57</v>
      </c>
      <c r="G18" s="2" t="s">
        <v>21</v>
      </c>
      <c r="H18" s="2">
        <v>11</v>
      </c>
      <c r="I18" s="2">
        <v>4.7</v>
      </c>
      <c r="J18" s="2">
        <v>7</v>
      </c>
      <c r="K18" s="3">
        <v>1</v>
      </c>
      <c r="L18" s="2">
        <v>1</v>
      </c>
      <c r="M18" s="2">
        <v>3</v>
      </c>
      <c r="N18" s="4">
        <v>78.099999999999994</v>
      </c>
      <c r="O18" s="6">
        <v>68</v>
      </c>
    </row>
    <row r="19" spans="1:15" x14ac:dyDescent="0.2">
      <c r="A19" s="5" t="s">
        <v>72</v>
      </c>
      <c r="B19" s="5" t="s">
        <v>73</v>
      </c>
      <c r="C19" s="5">
        <v>49</v>
      </c>
      <c r="D19" s="5" t="s">
        <v>64</v>
      </c>
      <c r="E19" s="5" t="s">
        <v>74</v>
      </c>
      <c r="F19" s="5" t="s">
        <v>26</v>
      </c>
      <c r="G19" s="5" t="s">
        <v>21</v>
      </c>
      <c r="H19" s="5">
        <v>4</v>
      </c>
      <c r="I19" s="5">
        <v>27</v>
      </c>
      <c r="J19" s="5">
        <v>11</v>
      </c>
      <c r="K19" s="4">
        <v>0</v>
      </c>
      <c r="L19" s="5">
        <v>0</v>
      </c>
      <c r="M19" s="5">
        <v>0</v>
      </c>
      <c r="N19" s="4">
        <v>73.5</v>
      </c>
      <c r="O19" s="4">
        <v>93</v>
      </c>
    </row>
    <row r="20" spans="1:15" x14ac:dyDescent="0.2">
      <c r="A20" s="2" t="s">
        <v>75</v>
      </c>
      <c r="B20" s="2" t="s">
        <v>76</v>
      </c>
      <c r="C20" s="2">
        <v>49</v>
      </c>
      <c r="D20" s="2" t="s">
        <v>47</v>
      </c>
      <c r="E20" s="2" t="s">
        <v>77</v>
      </c>
      <c r="F20" s="2" t="s">
        <v>26</v>
      </c>
      <c r="G20" s="2" t="s">
        <v>21</v>
      </c>
      <c r="H20" s="2">
        <v>7</v>
      </c>
      <c r="I20" s="2">
        <v>22.4</v>
      </c>
      <c r="J20" s="2">
        <v>4</v>
      </c>
      <c r="K20" s="3">
        <v>1</v>
      </c>
      <c r="L20" s="2">
        <v>0</v>
      </c>
      <c r="M20" s="2">
        <v>3</v>
      </c>
      <c r="N20" s="6">
        <v>92.2</v>
      </c>
      <c r="O20" s="4">
        <v>93</v>
      </c>
    </row>
    <row r="21" spans="1:15" x14ac:dyDescent="0.2">
      <c r="A21" s="5" t="s">
        <v>78</v>
      </c>
      <c r="B21" s="5" t="s">
        <v>79</v>
      </c>
      <c r="C21" s="5">
        <v>52</v>
      </c>
      <c r="D21" s="5" t="s">
        <v>18</v>
      </c>
      <c r="E21" s="5" t="s">
        <v>19</v>
      </c>
      <c r="F21" s="5" t="s">
        <v>57</v>
      </c>
      <c r="G21" s="5" t="s">
        <v>21</v>
      </c>
      <c r="H21" s="5">
        <v>8</v>
      </c>
      <c r="I21" s="5">
        <v>8.3000000000000007</v>
      </c>
      <c r="J21" s="5">
        <v>15</v>
      </c>
      <c r="K21" s="3">
        <v>2</v>
      </c>
      <c r="L21" s="5">
        <v>1</v>
      </c>
      <c r="M21" s="5">
        <v>2</v>
      </c>
      <c r="N21" s="4">
        <v>81.5</v>
      </c>
      <c r="O21" s="4">
        <v>92</v>
      </c>
    </row>
    <row r="22" spans="1:15" x14ac:dyDescent="0.2">
      <c r="A22" s="2" t="s">
        <v>80</v>
      </c>
      <c r="B22" s="2" t="s">
        <v>81</v>
      </c>
      <c r="C22" s="2">
        <v>57</v>
      </c>
      <c r="D22" s="2" t="s">
        <v>34</v>
      </c>
      <c r="E22" s="2" t="s">
        <v>82</v>
      </c>
      <c r="F22" s="2" t="s">
        <v>40</v>
      </c>
      <c r="G22" s="2" t="s">
        <v>41</v>
      </c>
      <c r="H22" s="2">
        <v>14</v>
      </c>
      <c r="I22" s="2">
        <v>28.5</v>
      </c>
      <c r="J22" s="2">
        <v>23</v>
      </c>
      <c r="K22" s="3">
        <v>1</v>
      </c>
      <c r="L22" s="2">
        <v>1</v>
      </c>
      <c r="M22" s="2">
        <v>2</v>
      </c>
      <c r="N22" s="4">
        <v>77.400000000000006</v>
      </c>
      <c r="O22" s="6">
        <v>63</v>
      </c>
    </row>
    <row r="23" spans="1:15" x14ac:dyDescent="0.2">
      <c r="A23" s="5" t="s">
        <v>83</v>
      </c>
      <c r="B23" s="5" t="s">
        <v>84</v>
      </c>
      <c r="C23" s="5">
        <v>52</v>
      </c>
      <c r="D23" s="5" t="s">
        <v>24</v>
      </c>
      <c r="E23" s="5" t="s">
        <v>25</v>
      </c>
      <c r="F23" s="5" t="s">
        <v>57</v>
      </c>
      <c r="G23" s="5" t="s">
        <v>27</v>
      </c>
      <c r="H23" s="5">
        <v>11</v>
      </c>
      <c r="I23" s="5">
        <v>4.2</v>
      </c>
      <c r="J23" s="5">
        <v>18</v>
      </c>
      <c r="K23" s="3">
        <v>2</v>
      </c>
      <c r="L23" s="5">
        <v>2</v>
      </c>
      <c r="M23" s="5">
        <v>0</v>
      </c>
      <c r="N23" s="6">
        <v>96</v>
      </c>
      <c r="O23" s="3">
        <v>77</v>
      </c>
    </row>
    <row r="24" spans="1:15" x14ac:dyDescent="0.2">
      <c r="A24" s="2" t="s">
        <v>85</v>
      </c>
      <c r="B24" s="2" t="s">
        <v>86</v>
      </c>
      <c r="C24" s="2">
        <v>47</v>
      </c>
      <c r="D24" s="2" t="s">
        <v>18</v>
      </c>
      <c r="E24" s="2" t="s">
        <v>19</v>
      </c>
      <c r="F24" s="2" t="s">
        <v>57</v>
      </c>
      <c r="G24" s="2" t="s">
        <v>27</v>
      </c>
      <c r="H24" s="2">
        <v>3</v>
      </c>
      <c r="I24" s="2">
        <v>27.7</v>
      </c>
      <c r="J24" s="2">
        <v>7</v>
      </c>
      <c r="K24" s="3">
        <v>2</v>
      </c>
      <c r="L24" s="2">
        <v>2</v>
      </c>
      <c r="M24" s="2">
        <v>0</v>
      </c>
      <c r="N24" s="7">
        <v>87.5</v>
      </c>
      <c r="O24" s="4">
        <v>99</v>
      </c>
    </row>
    <row r="25" spans="1:15" x14ac:dyDescent="0.2">
      <c r="A25" s="5" t="s">
        <v>87</v>
      </c>
      <c r="B25" s="5" t="s">
        <v>88</v>
      </c>
      <c r="C25" s="5">
        <v>37</v>
      </c>
      <c r="D25" s="5" t="s">
        <v>34</v>
      </c>
      <c r="E25" s="5" t="s">
        <v>89</v>
      </c>
      <c r="F25" s="5" t="s">
        <v>20</v>
      </c>
      <c r="G25" s="5" t="s">
        <v>41</v>
      </c>
      <c r="H25" s="5">
        <v>7</v>
      </c>
      <c r="I25" s="5">
        <v>27.4</v>
      </c>
      <c r="J25" s="5">
        <v>10</v>
      </c>
      <c r="K25" s="4">
        <v>0</v>
      </c>
      <c r="L25" s="5">
        <v>1</v>
      </c>
      <c r="M25" s="5">
        <v>0</v>
      </c>
      <c r="N25" s="4">
        <v>79.900000000000006</v>
      </c>
      <c r="O25" s="4">
        <v>85</v>
      </c>
    </row>
    <row r="26" spans="1:15" x14ac:dyDescent="0.2">
      <c r="A26" s="2" t="s">
        <v>90</v>
      </c>
      <c r="B26" s="2" t="s">
        <v>91</v>
      </c>
      <c r="C26" s="2">
        <v>56</v>
      </c>
      <c r="D26" s="2" t="s">
        <v>18</v>
      </c>
      <c r="E26" s="2" t="s">
        <v>19</v>
      </c>
      <c r="F26" s="2" t="s">
        <v>40</v>
      </c>
      <c r="G26" s="2" t="s">
        <v>27</v>
      </c>
      <c r="H26" s="2">
        <v>19</v>
      </c>
      <c r="I26" s="2">
        <v>39.9</v>
      </c>
      <c r="J26" s="2">
        <v>2</v>
      </c>
      <c r="K26" s="3">
        <v>1</v>
      </c>
      <c r="L26" s="2">
        <v>2</v>
      </c>
      <c r="M26" s="2">
        <v>0</v>
      </c>
      <c r="N26" s="6">
        <v>94</v>
      </c>
      <c r="O26" s="4">
        <v>89</v>
      </c>
    </row>
    <row r="27" spans="1:15" x14ac:dyDescent="0.2">
      <c r="A27" s="5" t="s">
        <v>92</v>
      </c>
      <c r="B27" s="5" t="s">
        <v>93</v>
      </c>
      <c r="C27" s="5">
        <v>55</v>
      </c>
      <c r="D27" s="5" t="s">
        <v>47</v>
      </c>
      <c r="E27" s="5" t="s">
        <v>48</v>
      </c>
      <c r="F27" s="5" t="s">
        <v>26</v>
      </c>
      <c r="G27" s="5" t="s">
        <v>41</v>
      </c>
      <c r="H27" s="5">
        <v>18</v>
      </c>
      <c r="I27" s="5">
        <v>28.7</v>
      </c>
      <c r="J27" s="5">
        <v>19</v>
      </c>
      <c r="K27" s="8">
        <v>3</v>
      </c>
      <c r="L27" s="5">
        <v>4</v>
      </c>
      <c r="M27" s="5">
        <v>0</v>
      </c>
      <c r="N27" s="6">
        <v>95.5</v>
      </c>
      <c r="O27" s="3">
        <v>79</v>
      </c>
    </row>
    <row r="28" spans="1:15" x14ac:dyDescent="0.2">
      <c r="A28" s="2" t="s">
        <v>94</v>
      </c>
      <c r="B28" s="2" t="s">
        <v>95</v>
      </c>
      <c r="C28" s="2">
        <v>35</v>
      </c>
      <c r="D28" s="2" t="s">
        <v>30</v>
      </c>
      <c r="E28" s="2" t="s">
        <v>96</v>
      </c>
      <c r="F28" s="2" t="s">
        <v>57</v>
      </c>
      <c r="G28" s="2" t="s">
        <v>21</v>
      </c>
      <c r="H28" s="2">
        <v>18</v>
      </c>
      <c r="I28" s="2">
        <v>7.9</v>
      </c>
      <c r="J28" s="2">
        <v>9</v>
      </c>
      <c r="K28" s="3">
        <v>1</v>
      </c>
      <c r="L28" s="2">
        <v>2</v>
      </c>
      <c r="M28" s="2">
        <v>3</v>
      </c>
      <c r="N28" s="4">
        <v>78.3</v>
      </c>
      <c r="O28" s="6">
        <v>68</v>
      </c>
    </row>
    <row r="29" spans="1:15" x14ac:dyDescent="0.2">
      <c r="A29" s="5" t="s">
        <v>97</v>
      </c>
      <c r="B29" s="5" t="s">
        <v>98</v>
      </c>
      <c r="C29" s="5">
        <v>30</v>
      </c>
      <c r="D29" s="5" t="s">
        <v>24</v>
      </c>
      <c r="E29" s="5" t="s">
        <v>54</v>
      </c>
      <c r="F29" s="5" t="s">
        <v>40</v>
      </c>
      <c r="G29" s="5" t="s">
        <v>41</v>
      </c>
      <c r="H29" s="5">
        <v>2</v>
      </c>
      <c r="I29" s="5">
        <v>2.1</v>
      </c>
      <c r="J29" s="5">
        <v>24</v>
      </c>
      <c r="K29" s="3">
        <v>2</v>
      </c>
      <c r="L29" s="5">
        <v>4</v>
      </c>
      <c r="M29" s="5">
        <v>6</v>
      </c>
      <c r="N29" s="7">
        <v>86</v>
      </c>
      <c r="O29" s="6">
        <v>69</v>
      </c>
    </row>
    <row r="30" spans="1:15" x14ac:dyDescent="0.2">
      <c r="A30" s="2" t="s">
        <v>99</v>
      </c>
      <c r="B30" s="2" t="s">
        <v>100</v>
      </c>
      <c r="C30" s="2">
        <v>57</v>
      </c>
      <c r="D30" s="2" t="s">
        <v>18</v>
      </c>
      <c r="E30" s="2" t="s">
        <v>19</v>
      </c>
      <c r="F30" s="2" t="s">
        <v>26</v>
      </c>
      <c r="G30" s="2" t="s">
        <v>27</v>
      </c>
      <c r="H30" s="2">
        <v>2</v>
      </c>
      <c r="I30" s="2">
        <v>33.700000000000003</v>
      </c>
      <c r="J30" s="2">
        <v>18</v>
      </c>
      <c r="K30" s="3">
        <v>2</v>
      </c>
      <c r="L30" s="2">
        <v>3</v>
      </c>
      <c r="M30" s="2">
        <v>4</v>
      </c>
      <c r="N30" s="6">
        <v>94.5</v>
      </c>
      <c r="O30" s="3">
        <v>84</v>
      </c>
    </row>
    <row r="31" spans="1:15" x14ac:dyDescent="0.2">
      <c r="A31" s="5" t="s">
        <v>101</v>
      </c>
      <c r="B31" s="5" t="s">
        <v>102</v>
      </c>
      <c r="C31" s="5">
        <v>57</v>
      </c>
      <c r="D31" s="5" t="s">
        <v>24</v>
      </c>
      <c r="E31" s="5" t="s">
        <v>103</v>
      </c>
      <c r="F31" s="5" t="s">
        <v>26</v>
      </c>
      <c r="G31" s="5" t="s">
        <v>27</v>
      </c>
      <c r="H31" s="5">
        <v>8</v>
      </c>
      <c r="I31" s="5">
        <v>27.3</v>
      </c>
      <c r="J31" s="5">
        <v>11</v>
      </c>
      <c r="K31" s="3">
        <v>1</v>
      </c>
      <c r="L31" s="5">
        <v>1</v>
      </c>
      <c r="M31" s="5">
        <v>1</v>
      </c>
      <c r="N31" s="6">
        <v>93.6</v>
      </c>
      <c r="O31" s="6">
        <v>67</v>
      </c>
    </row>
    <row r="32" spans="1:15" x14ac:dyDescent="0.2">
      <c r="A32" s="2" t="s">
        <v>104</v>
      </c>
      <c r="B32" s="2" t="s">
        <v>105</v>
      </c>
      <c r="C32" s="2">
        <v>37</v>
      </c>
      <c r="D32" s="2" t="s">
        <v>30</v>
      </c>
      <c r="E32" s="2" t="s">
        <v>96</v>
      </c>
      <c r="F32" s="2" t="s">
        <v>57</v>
      </c>
      <c r="G32" s="2" t="s">
        <v>21</v>
      </c>
      <c r="H32" s="2">
        <v>11</v>
      </c>
      <c r="I32" s="2">
        <v>31.7</v>
      </c>
      <c r="J32" s="2">
        <v>13</v>
      </c>
      <c r="K32" s="4">
        <v>0</v>
      </c>
      <c r="L32" s="2">
        <v>0</v>
      </c>
      <c r="M32" s="2">
        <v>0</v>
      </c>
      <c r="N32" s="6">
        <v>93.8</v>
      </c>
      <c r="O32" s="4">
        <v>100</v>
      </c>
    </row>
    <row r="33" spans="1:15" x14ac:dyDescent="0.2">
      <c r="A33" s="5" t="s">
        <v>106</v>
      </c>
      <c r="B33" s="5" t="s">
        <v>107</v>
      </c>
      <c r="C33" s="5">
        <v>36</v>
      </c>
      <c r="D33" s="5" t="s">
        <v>64</v>
      </c>
      <c r="E33" s="5" t="s">
        <v>65</v>
      </c>
      <c r="F33" s="5" t="s">
        <v>26</v>
      </c>
      <c r="G33" s="5" t="s">
        <v>41</v>
      </c>
      <c r="H33" s="5">
        <v>12</v>
      </c>
      <c r="I33" s="5">
        <v>13.6</v>
      </c>
      <c r="J33" s="5">
        <v>25</v>
      </c>
      <c r="K33" s="3">
        <v>2</v>
      </c>
      <c r="L33" s="5">
        <v>4</v>
      </c>
      <c r="M33" s="5">
        <v>4</v>
      </c>
      <c r="N33" s="4">
        <v>79</v>
      </c>
      <c r="O33" s="4">
        <v>99</v>
      </c>
    </row>
    <row r="34" spans="1:15" x14ac:dyDescent="0.2">
      <c r="A34" s="2" t="s">
        <v>108</v>
      </c>
      <c r="B34" s="2" t="s">
        <v>109</v>
      </c>
      <c r="C34" s="2">
        <v>43</v>
      </c>
      <c r="D34" s="2" t="s">
        <v>18</v>
      </c>
      <c r="E34" s="2" t="s">
        <v>110</v>
      </c>
      <c r="F34" s="2" t="s">
        <v>20</v>
      </c>
      <c r="G34" s="2" t="s">
        <v>27</v>
      </c>
      <c r="H34" s="2">
        <v>17</v>
      </c>
      <c r="I34" s="2">
        <v>17.2</v>
      </c>
      <c r="J34" s="2">
        <v>17</v>
      </c>
      <c r="K34" s="3">
        <v>2</v>
      </c>
      <c r="L34" s="2">
        <v>3</v>
      </c>
      <c r="M34" s="2">
        <v>2</v>
      </c>
      <c r="N34" s="7">
        <v>86.5</v>
      </c>
      <c r="O34" s="3">
        <v>75</v>
      </c>
    </row>
    <row r="35" spans="1:15" x14ac:dyDescent="0.2">
      <c r="A35" s="5" t="s">
        <v>111</v>
      </c>
      <c r="B35" s="5" t="s">
        <v>112</v>
      </c>
      <c r="C35" s="5">
        <v>42</v>
      </c>
      <c r="D35" s="5" t="s">
        <v>60</v>
      </c>
      <c r="E35" s="5" t="s">
        <v>113</v>
      </c>
      <c r="F35" s="5" t="s">
        <v>57</v>
      </c>
      <c r="G35" s="5" t="s">
        <v>27</v>
      </c>
      <c r="H35" s="5">
        <v>14</v>
      </c>
      <c r="I35" s="5">
        <v>15.1</v>
      </c>
      <c r="J35" s="5">
        <v>25</v>
      </c>
      <c r="K35" s="4">
        <v>0</v>
      </c>
      <c r="L35" s="5">
        <v>0</v>
      </c>
      <c r="M35" s="5">
        <v>0</v>
      </c>
      <c r="N35" s="6">
        <v>94.5</v>
      </c>
      <c r="O35" s="4">
        <v>94</v>
      </c>
    </row>
    <row r="36" spans="1:15" x14ac:dyDescent="0.2">
      <c r="A36" s="2" t="s">
        <v>114</v>
      </c>
      <c r="B36" s="2" t="s">
        <v>115</v>
      </c>
      <c r="C36" s="2">
        <v>56</v>
      </c>
      <c r="D36" s="2" t="s">
        <v>38</v>
      </c>
      <c r="E36" s="2" t="s">
        <v>116</v>
      </c>
      <c r="F36" s="2" t="s">
        <v>57</v>
      </c>
      <c r="G36" s="2" t="s">
        <v>27</v>
      </c>
      <c r="H36" s="2">
        <v>14</v>
      </c>
      <c r="I36" s="2">
        <v>2.1</v>
      </c>
      <c r="J36" s="2">
        <v>25</v>
      </c>
      <c r="K36" s="8">
        <v>3</v>
      </c>
      <c r="L36" s="2">
        <v>3</v>
      </c>
      <c r="M36" s="2">
        <v>6</v>
      </c>
      <c r="N36" s="4">
        <v>82.8</v>
      </c>
      <c r="O36" s="6">
        <v>45</v>
      </c>
    </row>
    <row r="37" spans="1:15" x14ac:dyDescent="0.2">
      <c r="A37" s="5" t="s">
        <v>117</v>
      </c>
      <c r="B37" s="5" t="s">
        <v>118</v>
      </c>
      <c r="C37" s="5">
        <v>54</v>
      </c>
      <c r="D37" s="5" t="s">
        <v>47</v>
      </c>
      <c r="E37" s="5" t="s">
        <v>119</v>
      </c>
      <c r="F37" s="5" t="s">
        <v>20</v>
      </c>
      <c r="G37" s="5" t="s">
        <v>27</v>
      </c>
      <c r="H37" s="5">
        <v>4</v>
      </c>
      <c r="I37" s="5">
        <v>29.4</v>
      </c>
      <c r="J37" s="5">
        <v>9</v>
      </c>
      <c r="K37" s="3">
        <v>1</v>
      </c>
      <c r="L37" s="5">
        <v>3</v>
      </c>
      <c r="M37" s="5">
        <v>2</v>
      </c>
      <c r="N37" s="7">
        <v>85.9</v>
      </c>
      <c r="O37" s="4">
        <v>92</v>
      </c>
    </row>
    <row r="38" spans="1:15" x14ac:dyDescent="0.2">
      <c r="A38" s="2" t="s">
        <v>120</v>
      </c>
      <c r="B38" s="2" t="s">
        <v>121</v>
      </c>
      <c r="C38" s="2">
        <v>47</v>
      </c>
      <c r="D38" s="2" t="s">
        <v>38</v>
      </c>
      <c r="E38" s="2" t="s">
        <v>116</v>
      </c>
      <c r="F38" s="2" t="s">
        <v>40</v>
      </c>
      <c r="G38" s="2" t="s">
        <v>27</v>
      </c>
      <c r="H38" s="2">
        <v>6</v>
      </c>
      <c r="I38" s="2">
        <v>25.4</v>
      </c>
      <c r="J38" s="2">
        <v>9</v>
      </c>
      <c r="K38" s="3">
        <v>1</v>
      </c>
      <c r="L38" s="2">
        <v>2</v>
      </c>
      <c r="M38" s="2">
        <v>1</v>
      </c>
      <c r="N38" s="4">
        <v>82.7</v>
      </c>
      <c r="O38" s="3">
        <v>77</v>
      </c>
    </row>
    <row r="39" spans="1:15" x14ac:dyDescent="0.2">
      <c r="A39" s="5" t="s">
        <v>122</v>
      </c>
      <c r="B39" s="5" t="s">
        <v>123</v>
      </c>
      <c r="C39" s="5">
        <v>32</v>
      </c>
      <c r="D39" s="5" t="s">
        <v>47</v>
      </c>
      <c r="E39" s="5" t="s">
        <v>48</v>
      </c>
      <c r="F39" s="5" t="s">
        <v>40</v>
      </c>
      <c r="G39" s="5" t="s">
        <v>41</v>
      </c>
      <c r="H39" s="5">
        <v>7</v>
      </c>
      <c r="I39" s="5">
        <v>21.4</v>
      </c>
      <c r="J39" s="5">
        <v>25</v>
      </c>
      <c r="K39" s="3">
        <v>1</v>
      </c>
      <c r="L39" s="5">
        <v>2</v>
      </c>
      <c r="M39" s="5">
        <v>0</v>
      </c>
      <c r="N39" s="6">
        <v>92.5</v>
      </c>
      <c r="O39" s="6">
        <v>67</v>
      </c>
    </row>
    <row r="40" spans="1:15" x14ac:dyDescent="0.2">
      <c r="A40" s="2" t="s">
        <v>124</v>
      </c>
      <c r="B40" s="2" t="s">
        <v>125</v>
      </c>
      <c r="C40" s="2">
        <v>37</v>
      </c>
      <c r="D40" s="2" t="s">
        <v>38</v>
      </c>
      <c r="E40" s="2" t="s">
        <v>51</v>
      </c>
      <c r="F40" s="2" t="s">
        <v>20</v>
      </c>
      <c r="G40" s="2" t="s">
        <v>21</v>
      </c>
      <c r="H40" s="2">
        <v>7</v>
      </c>
      <c r="I40" s="2">
        <v>7.6</v>
      </c>
      <c r="J40" s="2">
        <v>1</v>
      </c>
      <c r="K40" s="8">
        <v>3</v>
      </c>
      <c r="L40" s="2">
        <v>2</v>
      </c>
      <c r="M40" s="2">
        <v>9</v>
      </c>
      <c r="N40" s="4">
        <v>82.4</v>
      </c>
      <c r="O40" s="3">
        <v>75</v>
      </c>
    </row>
    <row r="41" spans="1:15" x14ac:dyDescent="0.2">
      <c r="A41" s="5" t="s">
        <v>126</v>
      </c>
      <c r="B41" s="5" t="s">
        <v>127</v>
      </c>
      <c r="C41" s="5">
        <v>22</v>
      </c>
      <c r="D41" s="5" t="s">
        <v>38</v>
      </c>
      <c r="E41" s="5" t="s">
        <v>51</v>
      </c>
      <c r="F41" s="5" t="s">
        <v>40</v>
      </c>
      <c r="G41" s="5" t="s">
        <v>41</v>
      </c>
      <c r="H41" s="5">
        <v>13</v>
      </c>
      <c r="I41" s="5">
        <v>11.3</v>
      </c>
      <c r="J41" s="5">
        <v>20</v>
      </c>
      <c r="K41" s="3">
        <v>2</v>
      </c>
      <c r="L41" s="5">
        <v>1</v>
      </c>
      <c r="M41" s="5">
        <v>6</v>
      </c>
      <c r="N41" s="4">
        <v>77.5</v>
      </c>
      <c r="O41" s="6">
        <v>59</v>
      </c>
    </row>
    <row r="42" spans="1:15" x14ac:dyDescent="0.2">
      <c r="A42" s="2" t="s">
        <v>128</v>
      </c>
      <c r="B42" s="2" t="s">
        <v>129</v>
      </c>
      <c r="C42" s="2">
        <v>55</v>
      </c>
      <c r="D42" s="2" t="s">
        <v>64</v>
      </c>
      <c r="E42" s="2" t="s">
        <v>65</v>
      </c>
      <c r="F42" s="2" t="s">
        <v>26</v>
      </c>
      <c r="G42" s="2" t="s">
        <v>21</v>
      </c>
      <c r="H42" s="2">
        <v>15</v>
      </c>
      <c r="I42" s="2">
        <v>7.1</v>
      </c>
      <c r="J42" s="2">
        <v>14</v>
      </c>
      <c r="K42" s="8">
        <v>3</v>
      </c>
      <c r="L42" s="2">
        <v>5</v>
      </c>
      <c r="M42" s="2">
        <v>9</v>
      </c>
      <c r="N42" s="6">
        <v>92.8</v>
      </c>
      <c r="O42" s="3">
        <v>76</v>
      </c>
    </row>
    <row r="43" spans="1:15" x14ac:dyDescent="0.2">
      <c r="A43" s="5" t="s">
        <v>130</v>
      </c>
      <c r="B43" s="5" t="s">
        <v>131</v>
      </c>
      <c r="C43" s="5">
        <v>39</v>
      </c>
      <c r="D43" s="5" t="s">
        <v>64</v>
      </c>
      <c r="E43" s="5" t="s">
        <v>65</v>
      </c>
      <c r="F43" s="5" t="s">
        <v>40</v>
      </c>
      <c r="G43" s="5" t="s">
        <v>41</v>
      </c>
      <c r="H43" s="5">
        <v>9</v>
      </c>
      <c r="I43" s="5">
        <v>30.6</v>
      </c>
      <c r="J43" s="5">
        <v>20</v>
      </c>
      <c r="K43" s="3">
        <v>2</v>
      </c>
      <c r="L43" s="5">
        <v>2</v>
      </c>
      <c r="M43" s="5">
        <v>4</v>
      </c>
      <c r="N43" s="4">
        <v>83</v>
      </c>
      <c r="O43" s="6">
        <v>59</v>
      </c>
    </row>
    <row r="44" spans="1:15" x14ac:dyDescent="0.2">
      <c r="A44" s="2" t="s">
        <v>132</v>
      </c>
      <c r="B44" s="2" t="s">
        <v>133</v>
      </c>
      <c r="C44" s="2">
        <v>30</v>
      </c>
      <c r="D44" s="2" t="s">
        <v>60</v>
      </c>
      <c r="E44" s="2" t="s">
        <v>113</v>
      </c>
      <c r="F44" s="2" t="s">
        <v>20</v>
      </c>
      <c r="G44" s="2" t="s">
        <v>41</v>
      </c>
      <c r="H44" s="2">
        <v>11</v>
      </c>
      <c r="I44" s="2">
        <v>35.9</v>
      </c>
      <c r="J44" s="2">
        <v>2</v>
      </c>
      <c r="K44" s="3">
        <v>1</v>
      </c>
      <c r="L44" s="2">
        <v>1</v>
      </c>
      <c r="M44" s="2">
        <v>1</v>
      </c>
      <c r="N44" s="4">
        <v>73.599999999999994</v>
      </c>
      <c r="O44" s="4">
        <v>89</v>
      </c>
    </row>
    <row r="45" spans="1:15" x14ac:dyDescent="0.2">
      <c r="A45" s="5" t="s">
        <v>134</v>
      </c>
      <c r="B45" s="5" t="s">
        <v>135</v>
      </c>
      <c r="C45" s="5">
        <v>46</v>
      </c>
      <c r="D45" s="5" t="s">
        <v>34</v>
      </c>
      <c r="E45" s="5" t="s">
        <v>82</v>
      </c>
      <c r="F45" s="5" t="s">
        <v>40</v>
      </c>
      <c r="G45" s="5" t="s">
        <v>41</v>
      </c>
      <c r="H45" s="5">
        <v>2</v>
      </c>
      <c r="I45" s="5">
        <v>9.9</v>
      </c>
      <c r="J45" s="5">
        <v>13</v>
      </c>
      <c r="K45" s="3">
        <v>2</v>
      </c>
      <c r="L45" s="5">
        <v>1</v>
      </c>
      <c r="M45" s="5">
        <v>6</v>
      </c>
      <c r="N45" s="4">
        <v>83.9</v>
      </c>
      <c r="O45" s="6">
        <v>66</v>
      </c>
    </row>
    <row r="46" spans="1:15" x14ac:dyDescent="0.2">
      <c r="A46" s="2" t="s">
        <v>136</v>
      </c>
      <c r="B46" s="2" t="s">
        <v>137</v>
      </c>
      <c r="C46" s="2">
        <v>36</v>
      </c>
      <c r="D46" s="2" t="s">
        <v>47</v>
      </c>
      <c r="E46" s="2" t="s">
        <v>48</v>
      </c>
      <c r="F46" s="2" t="s">
        <v>40</v>
      </c>
      <c r="G46" s="2" t="s">
        <v>41</v>
      </c>
      <c r="H46" s="2">
        <v>18</v>
      </c>
      <c r="I46" s="2">
        <v>30.4</v>
      </c>
      <c r="J46" s="2">
        <v>17</v>
      </c>
      <c r="K46" s="3">
        <v>1</v>
      </c>
      <c r="L46" s="2">
        <v>3</v>
      </c>
      <c r="M46" s="2">
        <v>0</v>
      </c>
      <c r="N46" s="4">
        <v>81.7</v>
      </c>
      <c r="O46" s="3">
        <v>78</v>
      </c>
    </row>
    <row r="47" spans="1:15" x14ac:dyDescent="0.2">
      <c r="A47" s="5" t="s">
        <v>138</v>
      </c>
      <c r="B47" s="5" t="s">
        <v>139</v>
      </c>
      <c r="C47" s="5">
        <v>23</v>
      </c>
      <c r="D47" s="5" t="s">
        <v>34</v>
      </c>
      <c r="E47" s="5" t="s">
        <v>89</v>
      </c>
      <c r="F47" s="5" t="s">
        <v>26</v>
      </c>
      <c r="G47" s="5" t="s">
        <v>41</v>
      </c>
      <c r="H47" s="5">
        <v>5</v>
      </c>
      <c r="I47" s="5">
        <v>39.299999999999997</v>
      </c>
      <c r="J47" s="5">
        <v>17</v>
      </c>
      <c r="K47" s="3">
        <v>2</v>
      </c>
      <c r="L47" s="5">
        <v>1</v>
      </c>
      <c r="M47" s="5">
        <v>0</v>
      </c>
      <c r="N47" s="7">
        <v>88.1</v>
      </c>
      <c r="O47" s="6">
        <v>66</v>
      </c>
    </row>
    <row r="48" spans="1:15" x14ac:dyDescent="0.2">
      <c r="A48" s="2" t="s">
        <v>140</v>
      </c>
      <c r="B48" s="2" t="s">
        <v>141</v>
      </c>
      <c r="C48" s="2">
        <v>51</v>
      </c>
      <c r="D48" s="2" t="s">
        <v>30</v>
      </c>
      <c r="E48" s="2" t="s">
        <v>96</v>
      </c>
      <c r="F48" s="2" t="s">
        <v>26</v>
      </c>
      <c r="G48" s="2" t="s">
        <v>21</v>
      </c>
      <c r="H48" s="2">
        <v>9</v>
      </c>
      <c r="I48" s="2">
        <v>16.399999999999999</v>
      </c>
      <c r="J48" s="2">
        <v>6</v>
      </c>
      <c r="K48" s="4">
        <v>0</v>
      </c>
      <c r="L48" s="2">
        <v>2</v>
      </c>
      <c r="M48" s="2">
        <v>0</v>
      </c>
      <c r="N48" s="6">
        <v>90.8</v>
      </c>
      <c r="O48" s="4">
        <v>100</v>
      </c>
    </row>
    <row r="49" spans="1:15" x14ac:dyDescent="0.2">
      <c r="A49" s="5" t="s">
        <v>142</v>
      </c>
      <c r="B49" s="5" t="s">
        <v>143</v>
      </c>
      <c r="C49" s="5">
        <v>44</v>
      </c>
      <c r="D49" s="5" t="s">
        <v>34</v>
      </c>
      <c r="E49" s="5" t="s">
        <v>82</v>
      </c>
      <c r="F49" s="5" t="s">
        <v>57</v>
      </c>
      <c r="G49" s="5" t="s">
        <v>41</v>
      </c>
      <c r="H49" s="5">
        <v>1</v>
      </c>
      <c r="I49" s="5">
        <v>30.5</v>
      </c>
      <c r="J49" s="5">
        <v>1</v>
      </c>
      <c r="K49" s="4">
        <v>0</v>
      </c>
      <c r="L49" s="5">
        <v>0</v>
      </c>
      <c r="M49" s="5">
        <v>0</v>
      </c>
      <c r="N49" s="6">
        <v>95.7</v>
      </c>
      <c r="O49" s="3">
        <v>83</v>
      </c>
    </row>
    <row r="50" spans="1:15" x14ac:dyDescent="0.2">
      <c r="A50" s="2" t="s">
        <v>144</v>
      </c>
      <c r="B50" s="2" t="s">
        <v>145</v>
      </c>
      <c r="C50" s="2">
        <v>58</v>
      </c>
      <c r="D50" s="2" t="s">
        <v>38</v>
      </c>
      <c r="E50" s="2" t="s">
        <v>39</v>
      </c>
      <c r="F50" s="2" t="s">
        <v>26</v>
      </c>
      <c r="G50" s="2" t="s">
        <v>21</v>
      </c>
      <c r="H50" s="2">
        <v>5</v>
      </c>
      <c r="I50" s="2">
        <v>20</v>
      </c>
      <c r="J50" s="2">
        <v>3</v>
      </c>
      <c r="K50" s="3">
        <v>1</v>
      </c>
      <c r="L50" s="2">
        <v>2</v>
      </c>
      <c r="M50" s="2">
        <v>2</v>
      </c>
      <c r="N50" s="4">
        <v>76.2</v>
      </c>
      <c r="O50" s="3">
        <v>72</v>
      </c>
    </row>
    <row r="51" spans="1:15" x14ac:dyDescent="0.2">
      <c r="A51" s="5" t="s">
        <v>146</v>
      </c>
      <c r="B51" s="5" t="s">
        <v>147</v>
      </c>
      <c r="C51" s="5">
        <v>58</v>
      </c>
      <c r="D51" s="5" t="s">
        <v>18</v>
      </c>
      <c r="E51" s="5" t="s">
        <v>19</v>
      </c>
      <c r="F51" s="5" t="s">
        <v>20</v>
      </c>
      <c r="G51" s="5" t="s">
        <v>21</v>
      </c>
      <c r="H51" s="5">
        <v>19</v>
      </c>
      <c r="I51" s="5">
        <v>3</v>
      </c>
      <c r="J51" s="5">
        <v>9</v>
      </c>
      <c r="K51" s="3">
        <v>1</v>
      </c>
      <c r="L51" s="5">
        <v>3</v>
      </c>
      <c r="M51" s="5">
        <v>1</v>
      </c>
      <c r="N51" s="4">
        <v>73.900000000000006</v>
      </c>
      <c r="O51" s="6">
        <v>44</v>
      </c>
    </row>
    <row r="52" spans="1:15" x14ac:dyDescent="0.2">
      <c r="A52" s="2" t="s">
        <v>148</v>
      </c>
      <c r="B52" s="2" t="s">
        <v>149</v>
      </c>
      <c r="C52" s="2">
        <v>58</v>
      </c>
      <c r="D52" s="2" t="s">
        <v>38</v>
      </c>
      <c r="E52" s="2" t="s">
        <v>39</v>
      </c>
      <c r="F52" s="2" t="s">
        <v>20</v>
      </c>
      <c r="G52" s="2" t="s">
        <v>27</v>
      </c>
      <c r="H52" s="2">
        <v>20</v>
      </c>
      <c r="I52" s="2">
        <v>32.6</v>
      </c>
      <c r="J52" s="2">
        <v>25</v>
      </c>
      <c r="K52" s="3">
        <v>2</v>
      </c>
      <c r="L52" s="2">
        <v>4</v>
      </c>
      <c r="M52" s="2">
        <v>4</v>
      </c>
      <c r="N52" s="4">
        <v>73.7</v>
      </c>
      <c r="O52" s="6">
        <v>64</v>
      </c>
    </row>
    <row r="53" spans="1:15" x14ac:dyDescent="0.2">
      <c r="A53" s="5" t="s">
        <v>150</v>
      </c>
      <c r="B53" s="5" t="s">
        <v>151</v>
      </c>
      <c r="C53" s="5">
        <v>51</v>
      </c>
      <c r="D53" s="5" t="s">
        <v>47</v>
      </c>
      <c r="E53" s="5" t="s">
        <v>77</v>
      </c>
      <c r="F53" s="5" t="s">
        <v>40</v>
      </c>
      <c r="G53" s="5" t="s">
        <v>41</v>
      </c>
      <c r="H53" s="5">
        <v>4</v>
      </c>
      <c r="I53" s="5">
        <v>18.5</v>
      </c>
      <c r="J53" s="5">
        <v>11</v>
      </c>
      <c r="K53" s="4">
        <v>0</v>
      </c>
      <c r="L53" s="5">
        <v>1</v>
      </c>
      <c r="M53" s="5">
        <v>0</v>
      </c>
      <c r="N53" s="4">
        <v>83.6</v>
      </c>
      <c r="O53" s="6">
        <v>62</v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12" customWidth="1"/>
    <col min="3" max="5" width="16" customWidth="1"/>
    <col min="6" max="6" width="14" customWidth="1"/>
  </cols>
  <sheetData>
    <row r="1" spans="1:6" ht="28" customHeight="1" x14ac:dyDescent="0.2">
      <c r="A1" s="25" t="s">
        <v>152</v>
      </c>
      <c r="B1" s="22"/>
      <c r="C1" s="22"/>
      <c r="D1" s="22"/>
      <c r="E1" s="22"/>
      <c r="F1" s="22"/>
    </row>
    <row r="2" spans="1:6" ht="22" customHeight="1" x14ac:dyDescent="0.2">
      <c r="A2" s="24" t="s">
        <v>153</v>
      </c>
      <c r="B2" s="22"/>
      <c r="C2" s="22"/>
      <c r="D2" s="22"/>
      <c r="E2" s="22"/>
      <c r="F2" s="22"/>
    </row>
    <row r="3" spans="1:6" x14ac:dyDescent="0.2">
      <c r="A3" s="1" t="s">
        <v>154</v>
      </c>
      <c r="B3" s="1" t="s">
        <v>11</v>
      </c>
      <c r="C3" s="1" t="s">
        <v>155</v>
      </c>
      <c r="D3" s="1" t="s">
        <v>156</v>
      </c>
      <c r="E3" s="1" t="s">
        <v>4</v>
      </c>
      <c r="F3" s="1" t="s">
        <v>157</v>
      </c>
    </row>
    <row r="4" spans="1:6" x14ac:dyDescent="0.2">
      <c r="A4" s="2" t="s">
        <v>17</v>
      </c>
      <c r="B4" s="2">
        <v>2</v>
      </c>
      <c r="C4" s="2">
        <v>7.3</v>
      </c>
      <c r="D4" s="2">
        <v>3</v>
      </c>
      <c r="E4" s="2" t="s">
        <v>18</v>
      </c>
      <c r="F4" s="9" t="s">
        <v>158</v>
      </c>
    </row>
    <row r="5" spans="1:6" x14ac:dyDescent="0.2">
      <c r="A5" s="5" t="s">
        <v>23</v>
      </c>
      <c r="B5" s="5">
        <v>1</v>
      </c>
      <c r="C5" s="5">
        <v>17.899999999999999</v>
      </c>
      <c r="D5" s="5">
        <v>14</v>
      </c>
      <c r="E5" s="5" t="s">
        <v>24</v>
      </c>
      <c r="F5" s="10" t="s">
        <v>159</v>
      </c>
    </row>
    <row r="6" spans="1:6" x14ac:dyDescent="0.2">
      <c r="A6" s="2" t="s">
        <v>29</v>
      </c>
      <c r="B6" s="2">
        <v>0</v>
      </c>
      <c r="C6" s="2">
        <v>16.399999999999999</v>
      </c>
      <c r="D6" s="2">
        <v>11</v>
      </c>
      <c r="E6" s="2" t="s">
        <v>30</v>
      </c>
      <c r="F6" s="10" t="s">
        <v>159</v>
      </c>
    </row>
    <row r="7" spans="1:6" x14ac:dyDescent="0.2">
      <c r="A7" s="5" t="s">
        <v>33</v>
      </c>
      <c r="B7" s="5">
        <v>1</v>
      </c>
      <c r="C7" s="5">
        <v>35.6</v>
      </c>
      <c r="D7" s="5">
        <v>11</v>
      </c>
      <c r="E7" s="5" t="s">
        <v>34</v>
      </c>
      <c r="F7" s="10" t="s">
        <v>159</v>
      </c>
    </row>
    <row r="8" spans="1:6" x14ac:dyDescent="0.2">
      <c r="A8" s="2" t="s">
        <v>37</v>
      </c>
      <c r="B8" s="2">
        <v>0</v>
      </c>
      <c r="C8" s="2">
        <v>26.2</v>
      </c>
      <c r="D8" s="2">
        <v>11</v>
      </c>
      <c r="E8" s="2" t="s">
        <v>38</v>
      </c>
      <c r="F8" s="11" t="s">
        <v>160</v>
      </c>
    </row>
    <row r="9" spans="1:6" x14ac:dyDescent="0.2">
      <c r="A9" s="5" t="s">
        <v>43</v>
      </c>
      <c r="B9" s="5">
        <v>1</v>
      </c>
      <c r="C9" s="5">
        <v>16.399999999999999</v>
      </c>
      <c r="D9" s="5">
        <v>20</v>
      </c>
      <c r="E9" s="5" t="s">
        <v>30</v>
      </c>
      <c r="F9" s="10" t="s">
        <v>159</v>
      </c>
    </row>
    <row r="10" spans="1:6" x14ac:dyDescent="0.2">
      <c r="A10" s="2" t="s">
        <v>46</v>
      </c>
      <c r="B10" s="2">
        <v>2</v>
      </c>
      <c r="C10" s="2">
        <v>36.700000000000003</v>
      </c>
      <c r="D10" s="2">
        <v>18</v>
      </c>
      <c r="E10" s="2" t="s">
        <v>47</v>
      </c>
      <c r="F10" s="10" t="s">
        <v>159</v>
      </c>
    </row>
    <row r="11" spans="1:6" x14ac:dyDescent="0.2">
      <c r="A11" s="5" t="s">
        <v>50</v>
      </c>
      <c r="B11" s="5">
        <v>0</v>
      </c>
      <c r="C11" s="5">
        <v>18.3</v>
      </c>
      <c r="D11" s="5">
        <v>18</v>
      </c>
      <c r="E11" s="5" t="s">
        <v>38</v>
      </c>
      <c r="F11" s="10" t="s">
        <v>159</v>
      </c>
    </row>
    <row r="12" spans="1:6" x14ac:dyDescent="0.2">
      <c r="A12" s="2" t="s">
        <v>53</v>
      </c>
      <c r="B12" s="2">
        <v>0</v>
      </c>
      <c r="C12" s="2">
        <v>32.1</v>
      </c>
      <c r="D12" s="2">
        <v>13</v>
      </c>
      <c r="E12" s="2" t="s">
        <v>24</v>
      </c>
      <c r="F12" s="11" t="s">
        <v>160</v>
      </c>
    </row>
    <row r="13" spans="1:6" x14ac:dyDescent="0.2">
      <c r="A13" s="5" t="s">
        <v>56</v>
      </c>
      <c r="B13" s="5">
        <v>2</v>
      </c>
      <c r="C13" s="5">
        <v>30.5</v>
      </c>
      <c r="D13" s="5">
        <v>24</v>
      </c>
      <c r="E13" s="5" t="s">
        <v>24</v>
      </c>
      <c r="F13" s="10" t="s">
        <v>159</v>
      </c>
    </row>
    <row r="14" spans="1:6" x14ac:dyDescent="0.2">
      <c r="A14" s="2" t="s">
        <v>59</v>
      </c>
      <c r="B14" s="2">
        <v>1</v>
      </c>
      <c r="C14" s="2">
        <v>35.1</v>
      </c>
      <c r="D14" s="2">
        <v>9</v>
      </c>
      <c r="E14" s="2" t="s">
        <v>60</v>
      </c>
      <c r="F14" s="10" t="s">
        <v>159</v>
      </c>
    </row>
    <row r="15" spans="1:6" x14ac:dyDescent="0.2">
      <c r="A15" s="5" t="s">
        <v>63</v>
      </c>
      <c r="B15" s="5">
        <v>1</v>
      </c>
      <c r="C15" s="5">
        <v>11.1</v>
      </c>
      <c r="D15" s="5">
        <v>7</v>
      </c>
      <c r="E15" s="5" t="s">
        <v>64</v>
      </c>
      <c r="F15" s="10" t="s">
        <v>159</v>
      </c>
    </row>
    <row r="16" spans="1:6" x14ac:dyDescent="0.2">
      <c r="A16" s="2" t="s">
        <v>67</v>
      </c>
      <c r="B16" s="2">
        <v>4</v>
      </c>
      <c r="C16" s="2">
        <v>12.1</v>
      </c>
      <c r="D16" s="2">
        <v>19</v>
      </c>
      <c r="E16" s="2" t="s">
        <v>30</v>
      </c>
      <c r="F16" s="9" t="s">
        <v>158</v>
      </c>
    </row>
    <row r="17" spans="1:6" x14ac:dyDescent="0.2">
      <c r="A17" s="5" t="s">
        <v>69</v>
      </c>
      <c r="B17" s="5">
        <v>0</v>
      </c>
      <c r="C17" s="5">
        <v>10.5</v>
      </c>
      <c r="D17" s="5">
        <v>10</v>
      </c>
      <c r="E17" s="5" t="s">
        <v>47</v>
      </c>
      <c r="F17" s="10" t="s">
        <v>159</v>
      </c>
    </row>
    <row r="18" spans="1:6" x14ac:dyDescent="0.2">
      <c r="A18" s="2" t="s">
        <v>71</v>
      </c>
      <c r="B18" s="2">
        <v>1</v>
      </c>
      <c r="C18" s="2">
        <v>4.7</v>
      </c>
      <c r="D18" s="2">
        <v>7</v>
      </c>
      <c r="E18" s="2" t="s">
        <v>24</v>
      </c>
      <c r="F18" s="9" t="s">
        <v>158</v>
      </c>
    </row>
    <row r="19" spans="1:6" x14ac:dyDescent="0.2">
      <c r="A19" s="5" t="s">
        <v>73</v>
      </c>
      <c r="B19" s="5">
        <v>0</v>
      </c>
      <c r="C19" s="5">
        <v>27</v>
      </c>
      <c r="D19" s="5">
        <v>11</v>
      </c>
      <c r="E19" s="5" t="s">
        <v>64</v>
      </c>
      <c r="F19" s="11" t="s">
        <v>160</v>
      </c>
    </row>
    <row r="20" spans="1:6" x14ac:dyDescent="0.2">
      <c r="A20" s="2" t="s">
        <v>76</v>
      </c>
      <c r="B20" s="2">
        <v>1</v>
      </c>
      <c r="C20" s="2">
        <v>22.4</v>
      </c>
      <c r="D20" s="2">
        <v>4</v>
      </c>
      <c r="E20" s="2" t="s">
        <v>47</v>
      </c>
      <c r="F20" s="10" t="s">
        <v>159</v>
      </c>
    </row>
    <row r="21" spans="1:6" x14ac:dyDescent="0.2">
      <c r="A21" s="5" t="s">
        <v>79</v>
      </c>
      <c r="B21" s="5">
        <v>2</v>
      </c>
      <c r="C21" s="5">
        <v>8.3000000000000007</v>
      </c>
      <c r="D21" s="5">
        <v>15</v>
      </c>
      <c r="E21" s="5" t="s">
        <v>18</v>
      </c>
      <c r="F21" s="10" t="s">
        <v>159</v>
      </c>
    </row>
    <row r="22" spans="1:6" x14ac:dyDescent="0.2">
      <c r="A22" s="2" t="s">
        <v>81</v>
      </c>
      <c r="B22" s="2">
        <v>1</v>
      </c>
      <c r="C22" s="2">
        <v>28.5</v>
      </c>
      <c r="D22" s="2">
        <v>23</v>
      </c>
      <c r="E22" s="2" t="s">
        <v>34</v>
      </c>
      <c r="F22" s="10" t="s">
        <v>159</v>
      </c>
    </row>
    <row r="23" spans="1:6" x14ac:dyDescent="0.2">
      <c r="A23" s="5" t="s">
        <v>84</v>
      </c>
      <c r="B23" s="5">
        <v>2</v>
      </c>
      <c r="C23" s="5">
        <v>4.2</v>
      </c>
      <c r="D23" s="5">
        <v>18</v>
      </c>
      <c r="E23" s="5" t="s">
        <v>24</v>
      </c>
      <c r="F23" s="9" t="s">
        <v>158</v>
      </c>
    </row>
    <row r="24" spans="1:6" x14ac:dyDescent="0.2">
      <c r="A24" s="2" t="s">
        <v>86</v>
      </c>
      <c r="B24" s="2">
        <v>2</v>
      </c>
      <c r="C24" s="2">
        <v>27.7</v>
      </c>
      <c r="D24" s="2">
        <v>7</v>
      </c>
      <c r="E24" s="2" t="s">
        <v>18</v>
      </c>
      <c r="F24" s="10" t="s">
        <v>159</v>
      </c>
    </row>
    <row r="25" spans="1:6" x14ac:dyDescent="0.2">
      <c r="A25" s="5" t="s">
        <v>88</v>
      </c>
      <c r="B25" s="5">
        <v>0</v>
      </c>
      <c r="C25" s="5">
        <v>27.4</v>
      </c>
      <c r="D25" s="5">
        <v>10</v>
      </c>
      <c r="E25" s="5" t="s">
        <v>34</v>
      </c>
      <c r="F25" s="11" t="s">
        <v>160</v>
      </c>
    </row>
    <row r="26" spans="1:6" x14ac:dyDescent="0.2">
      <c r="A26" s="2" t="s">
        <v>91</v>
      </c>
      <c r="B26" s="2">
        <v>1</v>
      </c>
      <c r="C26" s="2">
        <v>39.9</v>
      </c>
      <c r="D26" s="2">
        <v>2</v>
      </c>
      <c r="E26" s="2" t="s">
        <v>18</v>
      </c>
      <c r="F26" s="10" t="s">
        <v>159</v>
      </c>
    </row>
    <row r="27" spans="1:6" x14ac:dyDescent="0.2">
      <c r="A27" s="5" t="s">
        <v>93</v>
      </c>
      <c r="B27" s="5">
        <v>3</v>
      </c>
      <c r="C27" s="5">
        <v>28.7</v>
      </c>
      <c r="D27" s="5">
        <v>19</v>
      </c>
      <c r="E27" s="5" t="s">
        <v>47</v>
      </c>
      <c r="F27" s="9" t="s">
        <v>158</v>
      </c>
    </row>
    <row r="28" spans="1:6" x14ac:dyDescent="0.2">
      <c r="A28" s="2" t="s">
        <v>95</v>
      </c>
      <c r="B28" s="2">
        <v>1</v>
      </c>
      <c r="C28" s="2">
        <v>7.9</v>
      </c>
      <c r="D28" s="2">
        <v>9</v>
      </c>
      <c r="E28" s="2" t="s">
        <v>30</v>
      </c>
      <c r="F28" s="9" t="s">
        <v>158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workbookViewId="0"/>
  </sheetViews>
  <sheetFormatPr baseColWidth="10" defaultColWidth="8.83203125" defaultRowHeight="15" x14ac:dyDescent="0.2"/>
  <cols>
    <col min="1" max="1" width="28" customWidth="1"/>
    <col min="2" max="2" width="70" customWidth="1"/>
    <col min="3" max="3" width="38" customWidth="1"/>
  </cols>
  <sheetData>
    <row r="1" spans="1:3" ht="30" customHeight="1" x14ac:dyDescent="0.2">
      <c r="A1" s="21" t="s">
        <v>161</v>
      </c>
      <c r="B1" s="22"/>
      <c r="C1" s="22"/>
    </row>
    <row r="3" spans="1:3" ht="22" customHeight="1" x14ac:dyDescent="0.2">
      <c r="A3" s="26" t="s">
        <v>162</v>
      </c>
      <c r="B3" s="22"/>
      <c r="C3" s="22"/>
    </row>
    <row r="4" spans="1:3" ht="72" customHeight="1" x14ac:dyDescent="0.2">
      <c r="A4" s="12" t="s">
        <v>163</v>
      </c>
      <c r="B4" s="13" t="s">
        <v>164</v>
      </c>
      <c r="C4" s="14" t="s">
        <v>165</v>
      </c>
    </row>
    <row r="5" spans="1:3" ht="22" customHeight="1" x14ac:dyDescent="0.2">
      <c r="A5" s="26" t="s">
        <v>166</v>
      </c>
      <c r="B5" s="22"/>
      <c r="C5" s="22"/>
    </row>
    <row r="6" spans="1:3" ht="72" customHeight="1" x14ac:dyDescent="0.2">
      <c r="A6" s="12" t="s">
        <v>163</v>
      </c>
      <c r="B6" s="13" t="s">
        <v>167</v>
      </c>
      <c r="C6" s="14" t="s">
        <v>168</v>
      </c>
    </row>
    <row r="7" spans="1:3" ht="22" customHeight="1" x14ac:dyDescent="0.2">
      <c r="A7" s="26" t="s">
        <v>169</v>
      </c>
      <c r="B7" s="22"/>
      <c r="C7" s="22"/>
    </row>
    <row r="8" spans="1:3" ht="72" customHeight="1" x14ac:dyDescent="0.2">
      <c r="A8" s="12" t="s">
        <v>163</v>
      </c>
      <c r="B8" s="13" t="s">
        <v>170</v>
      </c>
      <c r="C8" s="14" t="s">
        <v>171</v>
      </c>
    </row>
    <row r="9" spans="1:3" ht="22" customHeight="1" x14ac:dyDescent="0.2">
      <c r="A9" s="26" t="s">
        <v>172</v>
      </c>
      <c r="B9" s="22"/>
      <c r="C9" s="22"/>
    </row>
    <row r="10" spans="1:3" ht="72" customHeight="1" x14ac:dyDescent="0.2">
      <c r="A10" s="12" t="s">
        <v>163</v>
      </c>
      <c r="B10" s="13" t="s">
        <v>173</v>
      </c>
      <c r="C10" s="14" t="s">
        <v>174</v>
      </c>
    </row>
    <row r="11" spans="1:3" ht="22" customHeight="1" x14ac:dyDescent="0.2">
      <c r="A11" s="26" t="s">
        <v>175</v>
      </c>
      <c r="B11" s="22"/>
      <c r="C11" s="22"/>
    </row>
    <row r="12" spans="1:3" ht="72" customHeight="1" x14ac:dyDescent="0.2">
      <c r="A12" s="12" t="s">
        <v>163</v>
      </c>
      <c r="B12" s="13" t="s">
        <v>176</v>
      </c>
      <c r="C12" s="14" t="s">
        <v>177</v>
      </c>
    </row>
    <row r="13" spans="1:3" ht="22" customHeight="1" x14ac:dyDescent="0.2">
      <c r="A13" s="26" t="s">
        <v>178</v>
      </c>
      <c r="B13" s="22"/>
      <c r="C13" s="22"/>
    </row>
    <row r="14" spans="1:3" ht="72" customHeight="1" x14ac:dyDescent="0.2">
      <c r="A14" s="12" t="s">
        <v>163</v>
      </c>
      <c r="B14" s="13" t="s">
        <v>179</v>
      </c>
      <c r="C14" s="14" t="s">
        <v>180</v>
      </c>
    </row>
    <row r="15" spans="1:3" ht="22" customHeight="1" x14ac:dyDescent="0.2">
      <c r="A15" s="26" t="s">
        <v>181</v>
      </c>
      <c r="B15" s="22"/>
      <c r="C15" s="22"/>
    </row>
    <row r="16" spans="1:3" ht="72" customHeight="1" x14ac:dyDescent="0.2">
      <c r="A16" s="12" t="s">
        <v>163</v>
      </c>
      <c r="B16" s="13" t="s">
        <v>182</v>
      </c>
      <c r="C16" s="14" t="s">
        <v>183</v>
      </c>
    </row>
    <row r="17" spans="1:3" ht="22" customHeight="1" x14ac:dyDescent="0.2">
      <c r="A17" s="26" t="s">
        <v>184</v>
      </c>
      <c r="B17" s="22"/>
      <c r="C17" s="22"/>
    </row>
    <row r="18" spans="1:3" ht="72" customHeight="1" x14ac:dyDescent="0.2">
      <c r="A18" s="12" t="s">
        <v>163</v>
      </c>
      <c r="B18" s="13" t="s">
        <v>185</v>
      </c>
      <c r="C18" s="14" t="s">
        <v>186</v>
      </c>
    </row>
  </sheetData>
  <mergeCells count="9">
    <mergeCell ref="A13:C13"/>
    <mergeCell ref="A11:C11"/>
    <mergeCell ref="A1:C1"/>
    <mergeCell ref="A5:C5"/>
    <mergeCell ref="A17:C17"/>
    <mergeCell ref="A9:C9"/>
    <mergeCell ref="A3:C3"/>
    <mergeCell ref="A15:C15"/>
    <mergeCell ref="A7:C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/>
  </sheetViews>
  <sheetFormatPr baseColWidth="10" defaultColWidth="8.83203125" defaultRowHeight="15" x14ac:dyDescent="0.2"/>
  <cols>
    <col min="1" max="1" width="30" customWidth="1"/>
    <col min="2" max="2" width="42" customWidth="1"/>
    <col min="3" max="3" width="14" customWidth="1"/>
    <col min="4" max="4" width="20" customWidth="1"/>
    <col min="6" max="6" width="13" hidden="1" customWidth="1"/>
  </cols>
  <sheetData>
    <row r="1" spans="1:6" ht="28" customHeight="1" x14ac:dyDescent="0.2">
      <c r="A1" s="25" t="s">
        <v>187</v>
      </c>
      <c r="B1" s="22"/>
      <c r="C1" s="22"/>
      <c r="D1" s="22"/>
      <c r="F1">
        <v>64</v>
      </c>
    </row>
    <row r="2" spans="1:6" x14ac:dyDescent="0.2">
      <c r="A2" s="1" t="s">
        <v>188</v>
      </c>
      <c r="B2" s="1" t="s">
        <v>189</v>
      </c>
      <c r="C2" s="1" t="s">
        <v>190</v>
      </c>
      <c r="D2" s="1" t="s">
        <v>191</v>
      </c>
      <c r="F2">
        <v>50</v>
      </c>
    </row>
    <row r="3" spans="1:6" x14ac:dyDescent="0.2">
      <c r="A3" s="15" t="s">
        <v>192</v>
      </c>
      <c r="B3" s="16" t="s">
        <v>193</v>
      </c>
      <c r="C3" s="17">
        <f>F1</f>
        <v>64</v>
      </c>
      <c r="D3" s="18" t="s">
        <v>194</v>
      </c>
      <c r="F3">
        <v>100000</v>
      </c>
    </row>
    <row r="4" spans="1:6" x14ac:dyDescent="0.2">
      <c r="A4" s="19" t="s">
        <v>195</v>
      </c>
      <c r="B4" s="20" t="s">
        <v>196</v>
      </c>
      <c r="C4" s="17">
        <f>F2</f>
        <v>50</v>
      </c>
      <c r="D4" s="18" t="s">
        <v>197</v>
      </c>
      <c r="F4">
        <v>97</v>
      </c>
    </row>
    <row r="5" spans="1:6" x14ac:dyDescent="0.2">
      <c r="A5" s="15" t="s">
        <v>198</v>
      </c>
      <c r="B5" s="16" t="s">
        <v>199</v>
      </c>
      <c r="C5" s="17">
        <f>F3</f>
        <v>100000</v>
      </c>
      <c r="D5" s="18" t="s">
        <v>200</v>
      </c>
      <c r="F5">
        <v>25</v>
      </c>
    </row>
    <row r="6" spans="1:6" x14ac:dyDescent="0.2">
      <c r="A6" s="19" t="s">
        <v>201</v>
      </c>
      <c r="B6" s="20" t="s">
        <v>202</v>
      </c>
      <c r="C6" s="17">
        <f>ROUND(F1*1000000/F3,2)</f>
        <v>640</v>
      </c>
      <c r="D6" s="18" t="s">
        <v>203</v>
      </c>
      <c r="F6">
        <v>78.260000000000005</v>
      </c>
    </row>
    <row r="7" spans="1:6" x14ac:dyDescent="0.2">
      <c r="A7" s="15" t="s">
        <v>204</v>
      </c>
      <c r="B7" s="16" t="s">
        <v>205</v>
      </c>
      <c r="C7" s="17">
        <f>F4</f>
        <v>97</v>
      </c>
      <c r="D7" s="18" t="s">
        <v>206</v>
      </c>
      <c r="F7">
        <v>1045</v>
      </c>
    </row>
    <row r="8" spans="1:6" x14ac:dyDescent="0.2">
      <c r="A8" s="19" t="s">
        <v>207</v>
      </c>
      <c r="B8" s="20" t="s">
        <v>208</v>
      </c>
      <c r="C8" s="17">
        <f>ROUND(F4/10*1000000/F3,2)</f>
        <v>97</v>
      </c>
      <c r="D8" s="18" t="s">
        <v>209</v>
      </c>
    </row>
    <row r="9" spans="1:6" x14ac:dyDescent="0.2">
      <c r="A9" s="15" t="s">
        <v>210</v>
      </c>
      <c r="B9" s="16" t="s">
        <v>211</v>
      </c>
      <c r="C9" s="17">
        <f>F5</f>
        <v>25</v>
      </c>
      <c r="D9" s="18" t="s">
        <v>212</v>
      </c>
    </row>
    <row r="10" spans="1:6" x14ac:dyDescent="0.2">
      <c r="A10" s="19" t="s">
        <v>213</v>
      </c>
      <c r="B10" s="20" t="s">
        <v>214</v>
      </c>
      <c r="C10" s="17">
        <f>ROUND(F6,1)</f>
        <v>78.3</v>
      </c>
      <c r="D10" s="18" t="s">
        <v>215</v>
      </c>
    </row>
    <row r="11" spans="1:6" x14ac:dyDescent="0.2">
      <c r="A11" s="15" t="s">
        <v>216</v>
      </c>
      <c r="B11" s="16" t="s">
        <v>217</v>
      </c>
      <c r="C11" s="17">
        <f>ROUND(F7/F2,1)</f>
        <v>20.9</v>
      </c>
      <c r="D11" s="18" t="s">
        <v>218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Worker Safety Dataset</vt:lpstr>
      <vt:lpstr>Demo – Teaching Table</vt:lpstr>
      <vt:lpstr>Python Code Guide</vt:lpstr>
      <vt:lpstr>OHS Metrics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hanif</cp:lastModifiedBy>
  <dcterms:created xsi:type="dcterms:W3CDTF">2026-03-05T15:05:24Z</dcterms:created>
  <dcterms:modified xsi:type="dcterms:W3CDTF">2026-03-05T20:56:39Z</dcterms:modified>
</cp:coreProperties>
</file>